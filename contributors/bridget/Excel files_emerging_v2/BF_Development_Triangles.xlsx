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Dev_Count_Tri" sheetId="3" state="visible" r:id="rId3"/>
    <sheet name="Dev_Peril_Link" sheetId="4" state="visible" r:id="rId4"/>
    <sheet name="Dev_Severity" sheetId="5" state="visible" r:id="rId5"/>
    <sheet name="Emg_Count_Tri" sheetId="6" state="visible" r:id="rId6"/>
    <sheet name="Emg_OpenClosed" sheetId="7" state="visible" r:id="rId7"/>
    <sheet name="Emg_vs_Dev" sheetId="8" state="visible" r:id="rId8"/>
    <sheet name="BF_Applic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x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</font>
    <font>
      <name val="Calibri"/>
      <i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0" fontId="0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10" fontId="0" fillId="3" borderId="1" pivotButton="0" quotePrefix="0" xfId="0"/>
    <xf numFmtId="0" fontId="6" fillId="0" borderId="0" pivotButton="0" quotePrefix="0" xfId="0"/>
    <xf numFmtId="4" fontId="0" fillId="0" borderId="1" pivotButton="0" quotePrefix="0" xfId="0"/>
    <xf numFmtId="164" fontId="0" fillId="3" borderId="1" pivotButton="0" quotePrefix="0" xfId="0"/>
    <xf numFmtId="166" fontId="0" fillId="0" borderId="1" pivotButton="0" quotePrefix="0" xfId="0"/>
    <xf numFmtId="4" fontId="0" fillId="3" borderId="1" pivotButton="0" quotePrefix="0" xfId="0"/>
    <xf numFmtId="2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Claims Development Triangle Analysis — Emerging Market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This workbook documents how Bornhuetter-Ferguson (BF) development factors are derived</t>
        </is>
      </c>
    </row>
    <row r="5">
      <c r="A5" t="inlineStr">
        <is>
          <t>and applied to the emerging market training data.</t>
        </is>
      </c>
    </row>
    <row r="6">
      <c r="A6" t="inlineStr"/>
    </row>
    <row r="7">
      <c r="A7" t="inlineStr">
        <is>
          <t>KEY CHALLENGE</t>
        </is>
      </c>
    </row>
    <row r="8">
      <c r="A8" t="inlineStr">
        <is>
          <t>The emerging market has only 2 years of training data (2023-2024) and a SINGLE</t>
        </is>
      </c>
    </row>
    <row r="9">
      <c r="A9" t="inlineStr">
        <is>
          <t>snapshot of incurred_to_date (as-at the valuation date). We CANNOT build a traditional</t>
        </is>
      </c>
    </row>
    <row r="10">
      <c r="A10" t="inlineStr">
        <is>
          <t>chain-ladder AMOUNT development triangle from a single snapshot.</t>
        </is>
      </c>
    </row>
    <row r="11">
      <c r="A11" t="inlineStr"/>
    </row>
    <row r="12">
      <c r="A12" s="2" t="inlineStr">
        <is>
          <t>WHAT WE CAN DERIVE FROM EMERGING DATA:</t>
        </is>
      </c>
    </row>
    <row r="13">
      <c r="A13" t="inlineStr">
        <is>
          <t xml:space="preserve">  1. Reported claim COUNT triangle (IBNR pattern) — using loss_date vs report_date</t>
        </is>
      </c>
    </row>
    <row r="14">
      <c r="A14" t="inlineStr">
        <is>
          <t xml:space="preserve">  2. Open/closed status snapshot — shows current state but has SELECTION BIAS</t>
        </is>
      </c>
    </row>
    <row r="15">
      <c r="A15" t="inlineStr">
        <is>
          <t xml:space="preserve">     (open claims are 1.3-2.8x more expensive than closed claims — NOT a development signal)</t>
        </is>
      </c>
    </row>
    <row r="16">
      <c r="A16" t="inlineStr"/>
    </row>
    <row r="17">
      <c r="A17" s="2" t="inlineStr">
        <is>
          <t>WHAT WE CANNOT DERIVE FROM EMERGING DATA:</t>
        </is>
      </c>
    </row>
    <row r="18">
      <c r="A18" t="inlineStr">
        <is>
          <t xml:space="preserve">  1. Amount development triangle (no historical snapshots of incurred at different ages)</t>
        </is>
      </c>
    </row>
    <row r="19">
      <c r="A19" t="inlineStr">
        <is>
          <t xml:space="preserve">  2. Severity development factors (selection bias invalidates open/closed comparison)</t>
        </is>
      </c>
    </row>
    <row r="20">
      <c r="A20" t="inlineStr"/>
    </row>
    <row r="21">
      <c r="A21" s="2" t="inlineStr">
        <is>
          <t>APPROACH:</t>
        </is>
      </c>
    </row>
    <row r="22">
      <c r="A22" t="inlineStr">
        <is>
          <t xml:space="preserve">  1. Use the DEVELOPED MARKET (5 years: 2020-2024) to build proper count triangles</t>
        </is>
      </c>
    </row>
    <row r="23">
      <c r="A23" t="inlineStr">
        <is>
          <t xml:space="preserve">     and derive per-peril link ratios (IBNR + severity development)</t>
        </is>
      </c>
    </row>
    <row r="24">
      <c r="A24" t="inlineStr">
        <is>
          <t xml:space="preserve">  2. Validate against the emerging market count triangle (comparable patterns)</t>
        </is>
      </c>
    </row>
    <row r="25">
      <c r="A25" t="inlineStr">
        <is>
          <t xml:space="preserve">  3. Apply Part 1 BF factors to the emerging market claims to estimate ultimate</t>
        </is>
      </c>
    </row>
    <row r="26">
      <c r="A26" t="inlineStr">
        <is>
          <t xml:space="preserve">     Formula: ultimate = incurred_net × BF_factor</t>
        </is>
      </c>
    </row>
    <row r="27">
      <c r="A27" t="inlineStr"/>
    </row>
    <row r="28">
      <c r="A28" s="2" t="inlineStr">
        <is>
          <t>SHEETS:</t>
        </is>
      </c>
    </row>
    <row r="29">
      <c r="A29" t="inlineStr">
        <is>
          <t xml:space="preserve">  Summary         — Part 1 BF factors and their impact on emerging ultimate claims</t>
        </is>
      </c>
    </row>
    <row r="30">
      <c r="A30" t="inlineStr">
        <is>
          <t xml:space="preserve">  Dev_Count_Tri   — Developed market reported claim count triangle (all lines)</t>
        </is>
      </c>
    </row>
    <row r="31">
      <c r="A31" t="inlineStr">
        <is>
          <t xml:space="preserve">  Dev_Peril_Link  — Per-peril count link ratios from developed market</t>
        </is>
      </c>
    </row>
    <row r="32">
      <c r="A32" t="inlineStr">
        <is>
          <t xml:space="preserve">  Dev_Severity    — Closed claim severity by loss year (developed market)</t>
        </is>
      </c>
    </row>
    <row r="33">
      <c r="A33" t="inlineStr">
        <is>
          <t xml:space="preserve">  Emg_Count_Tri   — Emerging market reported claim count triangle</t>
        </is>
      </c>
    </row>
    <row r="34">
      <c r="A34" t="inlineStr">
        <is>
          <t xml:space="preserve">  Emg_OpenClosed  — Emerging market open/closed snapshot (with caveats)</t>
        </is>
      </c>
    </row>
    <row r="35">
      <c r="A35" t="inlineStr">
        <is>
          <t xml:space="preserve">  Emg_vs_Dev      — Comparison of count link ratios: emerging vs developed</t>
        </is>
      </c>
    </row>
    <row r="36">
      <c r="A36" t="inlineStr">
        <is>
          <t xml:space="preserve">  BF_Application  — How Part 1 factors are applied to emerging claims by peril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9" customWidth="1" min="3" max="3"/>
    <col width="15" customWidth="1" min="4" max="4"/>
    <col width="21" customWidth="1" min="5" max="5"/>
    <col width="20" customWidth="1" min="6" max="6"/>
    <col width="28" customWidth="1" min="7" max="7"/>
  </cols>
  <sheetData>
    <row r="1">
      <c r="A1" s="1" t="inlineStr">
        <is>
          <t>Part 1 BF Development Factors — Applied to Emerging Market</t>
        </is>
      </c>
    </row>
    <row r="2"/>
    <row r="3">
      <c r="A3" s="3" t="inlineStr">
        <is>
          <t>Derived from the developed market (2020-2024) chain-ladder analysis.</t>
        </is>
      </c>
    </row>
    <row r="4">
      <c r="A4" s="3" t="inlineStr">
        <is>
          <t>Applied to emerging market as: ultimate = incurred_net × dev_factor</t>
        </is>
      </c>
    </row>
    <row r="5"/>
    <row r="6">
      <c r="A6" s="4" t="inlineStr">
        <is>
          <t>Line</t>
        </is>
      </c>
      <c r="B6" s="4" t="inlineStr">
        <is>
          <t>Peril Group</t>
        </is>
      </c>
      <c r="C6" s="4" t="inlineStr">
        <is>
          <t>Tail Type</t>
        </is>
      </c>
      <c r="D6" s="4" t="inlineStr">
        <is>
          <t>2023 Factor</t>
        </is>
      </c>
      <c r="E6" s="4" t="inlineStr">
        <is>
          <t>2024 Factor</t>
        </is>
      </c>
      <c r="F6" s="4" t="inlineStr">
        <is>
          <t>% Developed (2024)</t>
        </is>
      </c>
      <c r="G6" s="4" t="inlineStr">
        <is>
          <t>Notes</t>
        </is>
      </c>
    </row>
    <row r="7">
      <c r="A7" s="5" t="inlineStr">
        <is>
          <t>motor</t>
        </is>
      </c>
      <c r="B7" s="5" t="inlineStr">
        <is>
          <t>bodily_injury</t>
        </is>
      </c>
      <c r="C7" s="5" t="inlineStr">
        <is>
          <t>Long-tail (BI)</t>
        </is>
      </c>
      <c r="D7" s="6" t="n">
        <v>1.06</v>
      </c>
      <c r="E7" s="6" t="n">
        <v>1.82</v>
      </c>
      <c r="F7" s="7" t="n">
        <v>0.549</v>
      </c>
      <c r="G7" s="5" t="inlineStr">
        <is>
          <t>51.7% IBNR + slow severity dev</t>
        </is>
      </c>
    </row>
    <row r="8">
      <c r="A8" s="5" t="inlineStr">
        <is>
          <t>motor</t>
        </is>
      </c>
      <c r="B8" s="5" t="inlineStr">
        <is>
          <t>third_party_prop</t>
        </is>
      </c>
      <c r="C8" s="5" t="inlineStr">
        <is>
          <t>Medium-tail (TPP)</t>
        </is>
      </c>
      <c r="D8" s="6" t="n">
        <v>1.01</v>
      </c>
      <c r="E8" s="6" t="n">
        <v>1.08</v>
      </c>
      <c r="F8" s="7" t="n">
        <v>0.926</v>
      </c>
      <c r="G8" s="5" t="inlineStr">
        <is>
          <t>5.4% IBNR</t>
        </is>
      </c>
    </row>
    <row r="9">
      <c r="A9" s="5" t="inlineStr">
        <is>
          <t>motor</t>
        </is>
      </c>
      <c r="B9" s="5" t="inlineStr">
        <is>
          <t>glass_hail, own_damage, theft</t>
        </is>
      </c>
      <c r="C9" s="5" t="inlineStr">
        <is>
          <t>Short-tail</t>
        </is>
      </c>
      <c r="D9" s="6" t="n">
        <v>1.01</v>
      </c>
      <c r="E9" s="6" t="n">
        <v>1.08</v>
      </c>
      <c r="F9" s="7" t="n">
        <v>0.926</v>
      </c>
      <c r="G9" s="5" t="inlineStr">
        <is>
          <t>1-3% IBNR, fast reporting</t>
        </is>
      </c>
    </row>
    <row r="10">
      <c r="A10" s="5" t="inlineStr">
        <is>
          <t>buildings</t>
        </is>
      </c>
      <c r="B10" s="5" t="inlineStr">
        <is>
          <t>subsidence</t>
        </is>
      </c>
      <c r="C10" s="5" t="inlineStr">
        <is>
          <t>Long-tail</t>
        </is>
      </c>
      <c r="D10" s="6" t="n">
        <v>1.15</v>
      </c>
      <c r="E10" s="6" t="n">
        <v>1.47</v>
      </c>
      <c r="F10" s="7" t="n">
        <v>0.68</v>
      </c>
      <c r="G10" s="5" t="inlineStr">
        <is>
          <t>31.6% IBNR, slow reporting</t>
        </is>
      </c>
    </row>
    <row r="11">
      <c r="A11" s="5" t="inlineStr">
        <is>
          <t>buildings</t>
        </is>
      </c>
      <c r="B11" s="5" t="inlineStr">
        <is>
          <t>fire, flood, storm, EoW, acc_dmg</t>
        </is>
      </c>
      <c r="C11" s="5" t="inlineStr">
        <is>
          <t>Medium-tail</t>
        </is>
      </c>
      <c r="D11" s="6" t="n">
        <v>1.02</v>
      </c>
      <c r="E11" s="6" t="n">
        <v>1.08</v>
      </c>
      <c r="F11" s="7" t="n">
        <v>0.926</v>
      </c>
      <c r="G11" s="5" t="inlineStr">
        <is>
          <t>1.5-5.3% IBNR</t>
        </is>
      </c>
    </row>
    <row r="12">
      <c r="A12" s="5" t="inlineStr">
        <is>
          <t>contents</t>
        </is>
      </c>
      <c r="B12" s="5" t="inlineStr">
        <is>
          <t>all perils</t>
        </is>
      </c>
      <c r="C12" s="5" t="inlineStr">
        <is>
          <t>Short-tail</t>
        </is>
      </c>
      <c r="D12" s="6" t="n">
        <v>1.01</v>
      </c>
      <c r="E12" s="6" t="n">
        <v>1.04</v>
      </c>
      <c r="F12" s="7" t="n">
        <v>0.962</v>
      </c>
      <c r="G12" s="5" t="inlineStr">
        <is>
          <t>1.4-5.4% IBNR</t>
        </is>
      </c>
    </row>
    <row r="13"/>
    <row r="14"/>
    <row r="15">
      <c r="A15" s="2" t="inlineStr">
        <is>
          <t>Impact on Emerging Market Ultimate Claims</t>
        </is>
      </c>
    </row>
    <row r="16"/>
    <row r="17">
      <c r="A17" s="4" t="inlineStr">
        <is>
          <t>Line</t>
        </is>
      </c>
      <c r="B17" s="4" t="inlineStr">
        <is>
          <t>Reported Incurred (net)</t>
        </is>
      </c>
      <c r="C17" s="4" t="inlineStr">
        <is>
          <t>Dev Uplift</t>
        </is>
      </c>
      <c r="D17" s="4" t="inlineStr">
        <is>
          <t>Ultimate (v1)</t>
        </is>
      </c>
      <c r="E17" s="4" t="inlineStr">
        <is>
          <t>Weighted Avg Factor</t>
        </is>
      </c>
    </row>
    <row r="18">
      <c r="A18" s="5" t="inlineStr">
        <is>
          <t>motor</t>
        </is>
      </c>
      <c r="B18" s="8" t="n">
        <v>15919144.7</v>
      </c>
      <c r="C18" s="7">
        <f>D18/B18-1</f>
        <v/>
      </c>
      <c r="D18" s="8">
        <f>B18*(1+C18)</f>
        <v/>
      </c>
      <c r="E18" s="9" t="n">
        <v>1.146211071678995</v>
      </c>
    </row>
    <row r="19">
      <c r="A19" s="5" t="inlineStr">
        <is>
          <t>buildings</t>
        </is>
      </c>
      <c r="B19" s="8" t="n">
        <v>9578176.32</v>
      </c>
      <c r="C19" s="7">
        <f>D19/B19-1</f>
        <v/>
      </c>
      <c r="D19" s="8">
        <f>B19*(1+C19)</f>
        <v/>
      </c>
      <c r="E19" s="9" t="n">
        <v>1.058963740009748</v>
      </c>
    </row>
    <row r="20">
      <c r="A20" s="5" t="inlineStr">
        <is>
          <t>contents</t>
        </is>
      </c>
      <c r="B20" s="8" t="n">
        <v>2592937.81</v>
      </c>
      <c r="C20" s="7">
        <f>D20/B20-1</f>
        <v/>
      </c>
      <c r="D20" s="8">
        <f>B20*(1+C20)</f>
        <v/>
      </c>
      <c r="E20" s="9" t="n">
        <v>1.024977280924451</v>
      </c>
    </row>
    <row r="21">
      <c r="A21" s="10" t="inlineStr">
        <is>
          <t>TOTAL</t>
        </is>
      </c>
      <c r="B21" s="11">
        <f>SUM(B18:B20)</f>
        <v/>
      </c>
      <c r="C21" s="12">
        <f>D21/B21-1</f>
        <v/>
      </c>
      <c r="D21" s="11">
        <f>SUM(D18:D20)</f>
        <v/>
      </c>
      <c r="E21" s="13">
        <f>D21/B21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28" customWidth="1" min="5" max="5"/>
    <col width="24" customWidth="1" min="6" max="6"/>
  </cols>
  <sheetData>
    <row r="1">
      <c r="A1" s="1" t="inlineStr">
        <is>
          <t>Developed Market — Reported Claim Count Triangle (Cumulative)</t>
        </is>
      </c>
    </row>
    <row r="2">
      <c r="A2" s="3" t="inlineStr">
        <is>
          <t>Source: developed market claims.parquet (2020-2024). Repudiated excluded.</t>
        </is>
      </c>
    </row>
    <row r="3"/>
    <row r="4">
      <c r="A4" s="2" t="inlineStr">
        <is>
          <t>MOTOR — Cumulative Reported Counts</t>
        </is>
      </c>
    </row>
    <row r="5">
      <c r="A5" s="4" t="inlineStr">
        <is>
          <t>Accident Year</t>
        </is>
      </c>
      <c r="B5" s="4" t="inlineStr">
        <is>
          <t>Lag 0</t>
        </is>
      </c>
      <c r="C5" s="4" t="inlineStr">
        <is>
          <t>Lag 1</t>
        </is>
      </c>
      <c r="D5" s="4" t="inlineStr">
        <is>
          <t>Lag 2</t>
        </is>
      </c>
      <c r="E5" s="4" t="inlineStr">
        <is>
          <t>Lag 3</t>
        </is>
      </c>
      <c r="F5" s="4" t="inlineStr">
        <is>
          <t>Link Ratio (0→1)</t>
        </is>
      </c>
    </row>
    <row r="6">
      <c r="A6" s="5" t="n">
        <v>2021</v>
      </c>
      <c r="B6" s="5" t="n">
        <v>25204</v>
      </c>
      <c r="C6" s="5" t="n">
        <v>27234</v>
      </c>
      <c r="D6" s="5" t="n">
        <v>27375</v>
      </c>
      <c r="E6" s="5" t="n">
        <v>27390</v>
      </c>
      <c r="F6" s="9">
        <f>C6/B6</f>
        <v/>
      </c>
    </row>
    <row r="7">
      <c r="A7" s="5" t="n">
        <v>2022</v>
      </c>
      <c r="B7" s="5" t="n">
        <v>27606</v>
      </c>
      <c r="C7" s="5" t="n">
        <v>29573</v>
      </c>
      <c r="D7" s="5" t="n">
        <v>29725</v>
      </c>
      <c r="E7" s="5" t="n">
        <v>29725</v>
      </c>
      <c r="F7" s="9">
        <f>C7/B7</f>
        <v/>
      </c>
    </row>
    <row r="8">
      <c r="A8" s="5" t="n">
        <v>2023</v>
      </c>
      <c r="B8" s="5" t="n">
        <v>26098</v>
      </c>
      <c r="C8" s="5" t="n">
        <v>28020</v>
      </c>
      <c r="D8" s="5" t="n">
        <v>28020</v>
      </c>
      <c r="E8" s="5" t="n">
        <v>28020</v>
      </c>
      <c r="F8" s="9">
        <f>C8/B8</f>
        <v/>
      </c>
    </row>
    <row r="9">
      <c r="A9" s="5" t="n">
        <v>2024</v>
      </c>
      <c r="B9" s="5" t="n">
        <v>25864</v>
      </c>
      <c r="C9" s="5" t="n">
        <v>25864</v>
      </c>
      <c r="D9" s="5" t="n">
        <v>25864</v>
      </c>
      <c r="E9" s="5" t="n">
        <v>25864</v>
      </c>
      <c r="F9" s="9">
        <f>C9/B9</f>
        <v/>
      </c>
    </row>
    <row r="10">
      <c r="A10" s="10" t="inlineStr">
        <is>
          <t>Weighted Avg</t>
        </is>
      </c>
      <c r="B10" s="10" t="n"/>
      <c r="C10" s="10" t="n"/>
      <c r="D10" s="10" t="n"/>
      <c r="E10" s="10" t="n"/>
      <c r="F10" s="13">
        <f>SUM(C6:C9)/SUM(B6:B9)</f>
        <v/>
      </c>
    </row>
    <row r="11"/>
    <row r="12">
      <c r="A12" s="2" t="inlineStr">
        <is>
          <t>BUILDINGS — Cumulative Reported Counts</t>
        </is>
      </c>
    </row>
    <row r="13">
      <c r="A13" s="4" t="inlineStr">
        <is>
          <t>Accident Year</t>
        </is>
      </c>
      <c r="B13" s="4" t="inlineStr">
        <is>
          <t>Lag 0</t>
        </is>
      </c>
      <c r="C13" s="4" t="inlineStr">
        <is>
          <t>Lag 1</t>
        </is>
      </c>
      <c r="D13" s="4" t="inlineStr">
        <is>
          <t>Lag 2</t>
        </is>
      </c>
      <c r="E13" s="4" t="inlineStr">
        <is>
          <t>Link Ratio (0→1)</t>
        </is>
      </c>
    </row>
    <row r="14">
      <c r="A14" s="5" t="n">
        <v>2021</v>
      </c>
      <c r="B14" s="5" t="n">
        <v>5794</v>
      </c>
      <c r="C14" s="5" t="n">
        <v>6191</v>
      </c>
      <c r="D14" s="5" t="n">
        <v>6204</v>
      </c>
      <c r="E14" s="9">
        <f>C14/B14</f>
        <v/>
      </c>
    </row>
    <row r="15">
      <c r="A15" s="5" t="n">
        <v>2022</v>
      </c>
      <c r="B15" s="5" t="n">
        <v>6326</v>
      </c>
      <c r="C15" s="5" t="n">
        <v>6776</v>
      </c>
      <c r="D15" s="5" t="n">
        <v>6797</v>
      </c>
      <c r="E15" s="9">
        <f>C15/B15</f>
        <v/>
      </c>
    </row>
    <row r="16">
      <c r="A16" s="5" t="n">
        <v>2023</v>
      </c>
      <c r="B16" s="5" t="n">
        <v>6356</v>
      </c>
      <c r="C16" s="5" t="n">
        <v>6824</v>
      </c>
      <c r="D16" s="5" t="n">
        <v>6824</v>
      </c>
      <c r="E16" s="9">
        <f>C16/B16</f>
        <v/>
      </c>
    </row>
    <row r="17">
      <c r="A17" s="5" t="n">
        <v>2024</v>
      </c>
      <c r="B17" s="5" t="n">
        <v>6571</v>
      </c>
      <c r="C17" s="5" t="n">
        <v>6571</v>
      </c>
      <c r="D17" s="5" t="n">
        <v>6571</v>
      </c>
      <c r="E17" s="9">
        <f>C17/B17</f>
        <v/>
      </c>
    </row>
    <row r="18">
      <c r="A18" s="10" t="inlineStr">
        <is>
          <t>Weighted Avg</t>
        </is>
      </c>
      <c r="B18" s="10" t="n"/>
      <c r="C18" s="10" t="n"/>
      <c r="D18" s="10" t="n"/>
      <c r="E18" s="13">
        <f>SUM(C14:C17)/SUM(B14:B17)</f>
        <v/>
      </c>
    </row>
    <row r="19"/>
    <row r="20">
      <c r="A20" s="2" t="inlineStr">
        <is>
          <t>CONTENTS — Cumulative Reported Counts</t>
        </is>
      </c>
    </row>
    <row r="21">
      <c r="A21" s="4" t="inlineStr">
        <is>
          <t>Accident Year</t>
        </is>
      </c>
      <c r="B21" s="4" t="inlineStr">
        <is>
          <t>Lag 0</t>
        </is>
      </c>
      <c r="C21" s="4" t="inlineStr">
        <is>
          <t>Lag 1</t>
        </is>
      </c>
      <c r="D21" s="4" t="inlineStr">
        <is>
          <t>Lag 2</t>
        </is>
      </c>
      <c r="E21" s="4" t="inlineStr">
        <is>
          <t>Link Ratio (0→1)</t>
        </is>
      </c>
    </row>
    <row r="22">
      <c r="A22" s="5" t="n">
        <v>2021</v>
      </c>
      <c r="B22" s="5" t="n">
        <v>5359</v>
      </c>
      <c r="C22" s="5" t="n">
        <v>5576</v>
      </c>
      <c r="D22" s="5" t="n">
        <v>5588</v>
      </c>
      <c r="E22" s="9">
        <f>C22/B22</f>
        <v/>
      </c>
    </row>
    <row r="23">
      <c r="A23" s="5" t="n">
        <v>2022</v>
      </c>
      <c r="B23" s="5" t="n">
        <v>5797</v>
      </c>
      <c r="C23" s="5" t="n">
        <v>6023</v>
      </c>
      <c r="D23" s="5" t="n">
        <v>6032</v>
      </c>
      <c r="E23" s="9">
        <f>C23/B23</f>
        <v/>
      </c>
    </row>
    <row r="24">
      <c r="A24" s="5" t="n">
        <v>2023</v>
      </c>
      <c r="B24" s="5" t="n">
        <v>5936</v>
      </c>
      <c r="C24" s="5" t="n">
        <v>6165</v>
      </c>
      <c r="D24" s="5" t="n">
        <v>6165</v>
      </c>
      <c r="E24" s="9">
        <f>C24/B24</f>
        <v/>
      </c>
    </row>
    <row r="25">
      <c r="A25" s="5" t="n">
        <v>2024</v>
      </c>
      <c r="B25" s="5" t="n">
        <v>5988</v>
      </c>
      <c r="C25" s="5" t="n">
        <v>5988</v>
      </c>
      <c r="D25" s="5" t="n">
        <v>5988</v>
      </c>
      <c r="E25" s="9">
        <f>C25/B25</f>
        <v/>
      </c>
    </row>
    <row r="26">
      <c r="A26" s="10" t="inlineStr">
        <is>
          <t>Weighted Avg</t>
        </is>
      </c>
      <c r="B26" s="10" t="n"/>
      <c r="C26" s="10" t="n"/>
      <c r="D26" s="10" t="n"/>
      <c r="E26" s="13">
        <f>SUM(C22:C25)/SUM(B22:B25)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6" customWidth="1" min="3" max="3"/>
    <col width="16" customWidth="1" min="4" max="4"/>
    <col width="12" customWidth="1" min="5" max="5"/>
    <col width="10" customWidth="1" min="6" max="6"/>
    <col width="19" customWidth="1" min="7" max="7"/>
  </cols>
  <sheetData>
    <row r="1">
      <c r="A1" s="1" t="inlineStr">
        <is>
          <t>Developed Market — Per-Peril Count Link Ratios (Lag 0→1)</t>
        </is>
      </c>
    </row>
    <row r="2">
      <c r="A2" s="3" t="inlineStr">
        <is>
          <t>IBNR = Incurred But Not Reported. Link ratio &gt; 1 means some claims reported late.</t>
        </is>
      </c>
    </row>
    <row r="3"/>
    <row r="4">
      <c r="A4" s="4" t="inlineStr">
        <is>
          <t>Line</t>
        </is>
      </c>
      <c r="B4" s="4" t="inlineStr">
        <is>
          <t>Peril</t>
        </is>
      </c>
      <c r="C4" s="4" t="inlineStr">
        <is>
          <t>Count at Lag 0</t>
        </is>
      </c>
      <c r="D4" s="4" t="inlineStr">
        <is>
          <t>Count at Lag 1</t>
        </is>
      </c>
      <c r="E4" s="4" t="inlineStr">
        <is>
          <t>Link Ratio</t>
        </is>
      </c>
      <c r="F4" s="4" t="inlineStr">
        <is>
          <t>IBNR %</t>
        </is>
      </c>
      <c r="G4" s="4" t="inlineStr">
        <is>
          <t>Tail Type</t>
        </is>
      </c>
    </row>
    <row r="5">
      <c r="A5" s="5" t="inlineStr">
        <is>
          <t>buildings</t>
        </is>
      </c>
      <c r="B5" s="5" t="inlineStr">
        <is>
          <t>accidental_damage</t>
        </is>
      </c>
      <c r="C5" s="5" t="n">
        <v>3747</v>
      </c>
      <c r="D5" s="5" t="n">
        <v>3842</v>
      </c>
      <c r="E5" s="9">
        <f>D5/C5</f>
        <v/>
      </c>
      <c r="F5" s="14">
        <f>(E5-1)</f>
        <v/>
      </c>
      <c r="G5" s="5" t="inlineStr">
        <is>
          <t>Medium-tail</t>
        </is>
      </c>
    </row>
    <row r="6">
      <c r="A6" s="5" t="inlineStr">
        <is>
          <t>buildings</t>
        </is>
      </c>
      <c r="B6" s="5" t="inlineStr">
        <is>
          <t>escape_of_water</t>
        </is>
      </c>
      <c r="C6" s="5" t="n">
        <v>9601</v>
      </c>
      <c r="D6" s="5" t="n">
        <v>10108</v>
      </c>
      <c r="E6" s="9">
        <f>D6/C6</f>
        <v/>
      </c>
      <c r="F6" s="14">
        <f>(E6-1)</f>
        <v/>
      </c>
      <c r="G6" s="5" t="inlineStr">
        <is>
          <t>Medium-tail</t>
        </is>
      </c>
    </row>
    <row r="7">
      <c r="A7" s="5" t="inlineStr">
        <is>
          <t>buildings</t>
        </is>
      </c>
      <c r="B7" s="5" t="inlineStr">
        <is>
          <t>fire</t>
        </is>
      </c>
      <c r="C7" s="5" t="n">
        <v>1098</v>
      </c>
      <c r="D7" s="5" t="n">
        <v>1115</v>
      </c>
      <c r="E7" s="9">
        <f>D7/C7</f>
        <v/>
      </c>
      <c r="F7" s="14">
        <f>(E7-1)</f>
        <v/>
      </c>
      <c r="G7" s="5" t="inlineStr">
        <is>
          <t>Medium-tail</t>
        </is>
      </c>
    </row>
    <row r="8">
      <c r="A8" s="5" t="inlineStr">
        <is>
          <t>buildings</t>
        </is>
      </c>
      <c r="B8" s="5" t="inlineStr">
        <is>
          <t>flood</t>
        </is>
      </c>
      <c r="C8" s="5" t="n">
        <v>2159</v>
      </c>
      <c r="D8" s="5" t="n">
        <v>2225</v>
      </c>
      <c r="E8" s="9">
        <f>D8/C8</f>
        <v/>
      </c>
      <c r="F8" s="14">
        <f>(E8-1)</f>
        <v/>
      </c>
      <c r="G8" s="5" t="inlineStr">
        <is>
          <t>Medium-tail</t>
        </is>
      </c>
    </row>
    <row r="9">
      <c r="A9" s="5" t="inlineStr">
        <is>
          <t>buildings</t>
        </is>
      </c>
      <c r="B9" s="5" t="inlineStr">
        <is>
          <t>storm</t>
        </is>
      </c>
      <c r="C9" s="5" t="n">
        <v>7466</v>
      </c>
      <c r="D9" s="5" t="n">
        <v>7788</v>
      </c>
      <c r="E9" s="9">
        <f>D9/C9</f>
        <v/>
      </c>
      <c r="F9" s="14">
        <f>(E9-1)</f>
        <v/>
      </c>
      <c r="G9" s="5" t="inlineStr">
        <is>
          <t>Medium-tail</t>
        </is>
      </c>
    </row>
    <row r="10">
      <c r="A10" s="15" t="inlineStr">
        <is>
          <t>buildings</t>
        </is>
      </c>
      <c r="B10" s="15" t="inlineStr">
        <is>
          <t>subsidence</t>
        </is>
      </c>
      <c r="C10" s="15" t="n">
        <v>976</v>
      </c>
      <c r="D10" s="15" t="n">
        <v>1284</v>
      </c>
      <c r="E10" s="16">
        <f>D10/C10</f>
        <v/>
      </c>
      <c r="F10" s="17">
        <f>(E10-1)</f>
        <v/>
      </c>
      <c r="G10" s="15" t="inlineStr">
        <is>
          <t>Long-tail</t>
        </is>
      </c>
    </row>
    <row r="11">
      <c r="A11" s="5" t="inlineStr">
        <is>
          <t>contents</t>
        </is>
      </c>
      <c r="B11" s="5" t="inlineStr">
        <is>
          <t>accidental_damage</t>
        </is>
      </c>
      <c r="C11" s="5" t="n">
        <v>8855</v>
      </c>
      <c r="D11" s="5" t="n">
        <v>9089</v>
      </c>
      <c r="E11" s="9">
        <f>D11/C11</f>
        <v/>
      </c>
      <c r="F11" s="14">
        <f>(E11-1)</f>
        <v/>
      </c>
      <c r="G11" s="5" t="inlineStr">
        <is>
          <t>Short-tail</t>
        </is>
      </c>
    </row>
    <row r="12">
      <c r="A12" s="5" t="inlineStr">
        <is>
          <t>contents</t>
        </is>
      </c>
      <c r="B12" s="5" t="inlineStr">
        <is>
          <t>escape_of_water</t>
        </is>
      </c>
      <c r="C12" s="5" t="n">
        <v>5112</v>
      </c>
      <c r="D12" s="5" t="n">
        <v>5389</v>
      </c>
      <c r="E12" s="9">
        <f>D12/C12</f>
        <v/>
      </c>
      <c r="F12" s="14">
        <f>(E12-1)</f>
        <v/>
      </c>
      <c r="G12" s="5" t="inlineStr">
        <is>
          <t>Short-tail</t>
        </is>
      </c>
    </row>
    <row r="13">
      <c r="A13" s="5" t="inlineStr">
        <is>
          <t>contents</t>
        </is>
      </c>
      <c r="B13" s="5" t="inlineStr">
        <is>
          <t>flood</t>
        </is>
      </c>
      <c r="C13" s="5" t="n">
        <v>1568</v>
      </c>
      <c r="D13" s="5" t="n">
        <v>1622</v>
      </c>
      <c r="E13" s="9">
        <f>D13/C13</f>
        <v/>
      </c>
      <c r="F13" s="14">
        <f>(E13-1)</f>
        <v/>
      </c>
      <c r="G13" s="5" t="inlineStr">
        <is>
          <t>Short-tail</t>
        </is>
      </c>
    </row>
    <row r="14">
      <c r="A14" s="5" t="inlineStr">
        <is>
          <t>contents</t>
        </is>
      </c>
      <c r="B14" s="5" t="inlineStr">
        <is>
          <t>theft</t>
        </is>
      </c>
      <c r="C14" s="5" t="n">
        <v>7545</v>
      </c>
      <c r="D14" s="5" t="n">
        <v>7652</v>
      </c>
      <c r="E14" s="9">
        <f>D14/C14</f>
        <v/>
      </c>
      <c r="F14" s="14">
        <f>(E14-1)</f>
        <v/>
      </c>
      <c r="G14" s="5" t="inlineStr">
        <is>
          <t>Short-tail</t>
        </is>
      </c>
    </row>
    <row r="15">
      <c r="A15" s="15" t="inlineStr">
        <is>
          <t>motor</t>
        </is>
      </c>
      <c r="B15" s="15" t="inlineStr">
        <is>
          <t>bodily_injury</t>
        </is>
      </c>
      <c r="C15" s="15" t="n">
        <v>4830</v>
      </c>
      <c r="D15" s="15" t="n">
        <v>7326</v>
      </c>
      <c r="E15" s="16">
        <f>D15/C15</f>
        <v/>
      </c>
      <c r="F15" s="17">
        <f>(E15-1)</f>
        <v/>
      </c>
      <c r="G15" s="15" t="inlineStr">
        <is>
          <t>Long-tail (BI)</t>
        </is>
      </c>
    </row>
    <row r="16">
      <c r="A16" s="5" t="inlineStr">
        <is>
          <t>motor</t>
        </is>
      </c>
      <c r="B16" s="5" t="inlineStr">
        <is>
          <t>glass_hail</t>
        </is>
      </c>
      <c r="C16" s="5" t="n">
        <v>15327</v>
      </c>
      <c r="D16" s="5" t="n">
        <v>15687</v>
      </c>
      <c r="E16" s="9">
        <f>D16/C16</f>
        <v/>
      </c>
      <c r="F16" s="14">
        <f>(E16-1)</f>
        <v/>
      </c>
      <c r="G16" s="5" t="inlineStr">
        <is>
          <t>Short-tail</t>
        </is>
      </c>
    </row>
    <row r="17">
      <c r="A17" s="5" t="inlineStr">
        <is>
          <t>motor</t>
        </is>
      </c>
      <c r="B17" s="5" t="inlineStr">
        <is>
          <t>own_damage</t>
        </is>
      </c>
      <c r="C17" s="5" t="n">
        <v>47167</v>
      </c>
      <c r="D17" s="5" t="n">
        <v>48452</v>
      </c>
      <c r="E17" s="9">
        <f>D17/C17</f>
        <v/>
      </c>
      <c r="F17" s="14">
        <f>(E17-1)</f>
        <v/>
      </c>
      <c r="G17" s="5" t="inlineStr">
        <is>
          <t>Short-tail</t>
        </is>
      </c>
    </row>
    <row r="18">
      <c r="A18" s="5" t="inlineStr">
        <is>
          <t>motor</t>
        </is>
      </c>
      <c r="B18" s="5" t="inlineStr">
        <is>
          <t>theft</t>
        </is>
      </c>
      <c r="C18" s="5" t="n">
        <v>6060</v>
      </c>
      <c r="D18" s="5" t="n">
        <v>6144</v>
      </c>
      <c r="E18" s="9">
        <f>D18/C18</f>
        <v/>
      </c>
      <c r="F18" s="14">
        <f>(E18-1)</f>
        <v/>
      </c>
      <c r="G18" s="5" t="inlineStr">
        <is>
          <t>Short-tail</t>
        </is>
      </c>
    </row>
    <row r="19">
      <c r="A19" s="5" t="inlineStr">
        <is>
          <t>motor</t>
        </is>
      </c>
      <c r="B19" s="5" t="inlineStr">
        <is>
          <t>third_party_prop</t>
        </is>
      </c>
      <c r="C19" s="5" t="n">
        <v>31388</v>
      </c>
      <c r="D19" s="5" t="n">
        <v>33082</v>
      </c>
      <c r="E19" s="9">
        <f>D19/C19</f>
        <v/>
      </c>
      <c r="F19" s="14">
        <f>(E19-1)</f>
        <v/>
      </c>
      <c r="G19" s="5" t="inlineStr">
        <is>
          <t>Medium-tail (TPP)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5" customWidth="1" min="4" max="4"/>
    <col width="10" customWidth="1" min="5" max="5"/>
    <col width="21" customWidth="1" min="6" max="6"/>
    <col width="19" customWidth="1" min="7" max="7"/>
    <col width="17" customWidth="1" min="8" max="8"/>
    <col width="10" customWidth="1" min="9" max="9"/>
  </cols>
  <sheetData>
    <row r="1">
      <c r="A1" s="1" t="inlineStr">
        <is>
          <t>Developed Market — Closed Claim Severity by Loss Year</t>
        </is>
      </c>
    </row>
    <row r="2">
      <c r="A2" s="3" t="inlineStr">
        <is>
          <t>Older years have more mature closed claims. Shows severity development + % closed by year.</t>
        </is>
      </c>
    </row>
    <row r="3">
      <c r="A3" s="18" t="inlineStr">
        <is>
          <t>Note: Open claims have HIGHER avg incurred (selection bias) — do NOT use as development signal.</t>
        </is>
      </c>
    </row>
    <row r="4"/>
    <row r="5">
      <c r="A5" s="2" t="inlineStr">
        <is>
          <t>MOTOR</t>
        </is>
      </c>
    </row>
    <row r="6">
      <c r="A6" s="4" t="inlineStr">
        <is>
          <t>Peril</t>
        </is>
      </c>
      <c r="B6" s="4" t="inlineStr">
        <is>
          <t>Loss Year</t>
        </is>
      </c>
      <c r="C6" s="4" t="inlineStr">
        <is>
          <t>Total Claims</t>
        </is>
      </c>
      <c r="D6" s="4" t="inlineStr">
        <is>
          <t>Closed Claims</t>
        </is>
      </c>
      <c r="E6" s="4" t="inlineStr">
        <is>
          <t>% Closed</t>
        </is>
      </c>
      <c r="F6" s="4" t="inlineStr">
        <is>
          <t>Closed Avg Incurred</t>
        </is>
      </c>
      <c r="G6" s="4" t="inlineStr">
        <is>
          <t>Open Avg Incurred</t>
        </is>
      </c>
      <c r="H6" s="4" t="inlineStr">
        <is>
          <t>Open Paid/Inc %</t>
        </is>
      </c>
    </row>
    <row r="7">
      <c r="A7" s="5" t="inlineStr">
        <is>
          <t>bodily_injury</t>
        </is>
      </c>
      <c r="B7" s="5" t="n">
        <v>2020</v>
      </c>
      <c r="C7" s="5" t="n">
        <v>19</v>
      </c>
      <c r="D7" s="5" t="n">
        <v>17</v>
      </c>
      <c r="E7" s="7">
        <f>D7/C7</f>
        <v/>
      </c>
      <c r="F7" s="19" t="n">
        <v>17474.47</v>
      </c>
      <c r="G7" s="19" t="n">
        <v>20324.82</v>
      </c>
      <c r="H7" s="7" t="n">
        <v>0.3859</v>
      </c>
    </row>
    <row r="8">
      <c r="A8" s="5" t="inlineStr">
        <is>
          <t>bodily_injury</t>
        </is>
      </c>
      <c r="B8" s="5" t="n">
        <v>2021</v>
      </c>
      <c r="C8" s="5" t="n">
        <v>2146</v>
      </c>
      <c r="D8" s="5" t="n">
        <v>1825</v>
      </c>
      <c r="E8" s="7">
        <f>D8/C8</f>
        <v/>
      </c>
      <c r="F8" s="19" t="n">
        <v>21543.19</v>
      </c>
      <c r="G8" s="19" t="n">
        <v>20867.2</v>
      </c>
      <c r="H8" s="7" t="n">
        <v>0.3311</v>
      </c>
    </row>
    <row r="9">
      <c r="A9" s="5" t="inlineStr">
        <is>
          <t>bodily_injury</t>
        </is>
      </c>
      <c r="B9" s="5" t="n">
        <v>2022</v>
      </c>
      <c r="C9" s="5" t="n">
        <v>2187</v>
      </c>
      <c r="D9" s="5" t="n">
        <v>1580</v>
      </c>
      <c r="E9" s="7">
        <f>D9/C9</f>
        <v/>
      </c>
      <c r="F9" s="19" t="n">
        <v>22798.34</v>
      </c>
      <c r="G9" s="19" t="n">
        <v>20544.27</v>
      </c>
      <c r="H9" s="7" t="n">
        <v>0.3166</v>
      </c>
    </row>
    <row r="10">
      <c r="A10" s="5" t="inlineStr">
        <is>
          <t>bodily_injury</t>
        </is>
      </c>
      <c r="B10" s="5" t="n">
        <v>2023</v>
      </c>
      <c r="C10" s="5" t="n">
        <v>2053</v>
      </c>
      <c r="D10" s="5" t="n">
        <v>1038</v>
      </c>
      <c r="E10" s="20">
        <f>D10/C10</f>
        <v/>
      </c>
      <c r="F10" s="19" t="n">
        <v>17716.23</v>
      </c>
      <c r="G10" s="19" t="n">
        <v>28983.17</v>
      </c>
      <c r="H10" s="7" t="n">
        <v>0.1779</v>
      </c>
    </row>
    <row r="11">
      <c r="A11" s="5" t="inlineStr">
        <is>
          <t>bodily_injury</t>
        </is>
      </c>
      <c r="B11" s="5" t="n">
        <v>2024</v>
      </c>
      <c r="C11" s="5" t="n">
        <v>1178</v>
      </c>
      <c r="D11" s="5" t="n">
        <v>238</v>
      </c>
      <c r="E11" s="20">
        <f>D11/C11</f>
        <v/>
      </c>
      <c r="F11" s="19" t="n">
        <v>17266.3</v>
      </c>
      <c r="G11" s="19" t="n">
        <v>17971.52</v>
      </c>
      <c r="H11" s="7" t="n">
        <v>0.1647</v>
      </c>
    </row>
    <row r="12">
      <c r="A12" s="5" t="inlineStr">
        <is>
          <t>glass_hail</t>
        </is>
      </c>
      <c r="B12" s="5" t="n">
        <v>2020</v>
      </c>
      <c r="C12" s="5" t="n">
        <v>31</v>
      </c>
      <c r="D12" s="5" t="n">
        <v>31</v>
      </c>
      <c r="E12" s="7">
        <f>D12/C12</f>
        <v/>
      </c>
      <c r="F12" s="19" t="n">
        <v>729.4400000000001</v>
      </c>
      <c r="G12" s="19" t="n"/>
      <c r="H12" s="7" t="n"/>
    </row>
    <row r="13">
      <c r="A13" s="5" t="inlineStr">
        <is>
          <t>glass_hail</t>
        </is>
      </c>
      <c r="B13" s="5" t="n">
        <v>2021</v>
      </c>
      <c r="C13" s="5" t="n">
        <v>3574</v>
      </c>
      <c r="D13" s="5" t="n">
        <v>3574</v>
      </c>
      <c r="E13" s="7">
        <f>D13/C13</f>
        <v/>
      </c>
      <c r="F13" s="19" t="n">
        <v>944.38</v>
      </c>
      <c r="G13" s="19" t="n"/>
      <c r="H13" s="7" t="n"/>
    </row>
    <row r="14">
      <c r="A14" s="5" t="inlineStr">
        <is>
          <t>glass_hail</t>
        </is>
      </c>
      <c r="B14" s="5" t="n">
        <v>2022</v>
      </c>
      <c r="C14" s="5" t="n">
        <v>3990</v>
      </c>
      <c r="D14" s="5" t="n">
        <v>3990</v>
      </c>
      <c r="E14" s="7">
        <f>D14/C14</f>
        <v/>
      </c>
      <c r="F14" s="19" t="n">
        <v>1051.79</v>
      </c>
      <c r="G14" s="19" t="n"/>
      <c r="H14" s="7" t="n"/>
    </row>
    <row r="15">
      <c r="A15" s="5" t="inlineStr">
        <is>
          <t>glass_hail</t>
        </is>
      </c>
      <c r="B15" s="5" t="n">
        <v>2023</v>
      </c>
      <c r="C15" s="5" t="n">
        <v>4117</v>
      </c>
      <c r="D15" s="5" t="n">
        <v>4117</v>
      </c>
      <c r="E15" s="7">
        <f>D15/C15</f>
        <v/>
      </c>
      <c r="F15" s="19" t="n">
        <v>1143.03</v>
      </c>
      <c r="G15" s="19" t="n"/>
      <c r="H15" s="7" t="n"/>
    </row>
    <row r="16">
      <c r="A16" s="5" t="inlineStr">
        <is>
          <t>glass_hail</t>
        </is>
      </c>
      <c r="B16" s="5" t="n">
        <v>2024</v>
      </c>
      <c r="C16" s="5" t="n">
        <v>4020</v>
      </c>
      <c r="D16" s="5" t="n">
        <v>3793</v>
      </c>
      <c r="E16" s="7">
        <f>D16/C16</f>
        <v/>
      </c>
      <c r="F16" s="19" t="n">
        <v>1191.34</v>
      </c>
      <c r="G16" s="19" t="n">
        <v>1180.45</v>
      </c>
      <c r="H16" s="7" t="n">
        <v>0.2501</v>
      </c>
    </row>
    <row r="17">
      <c r="A17" s="5" t="inlineStr">
        <is>
          <t>own_damage</t>
        </is>
      </c>
      <c r="B17" s="5" t="n">
        <v>2020</v>
      </c>
      <c r="C17" s="5" t="n">
        <v>85</v>
      </c>
      <c r="D17" s="5" t="n">
        <v>85</v>
      </c>
      <c r="E17" s="7">
        <f>D17/C17</f>
        <v/>
      </c>
      <c r="F17" s="19" t="n">
        <v>1734.04</v>
      </c>
      <c r="G17" s="19" t="n"/>
      <c r="H17" s="7" t="n"/>
    </row>
    <row r="18">
      <c r="A18" s="5" t="inlineStr">
        <is>
          <t>own_damage</t>
        </is>
      </c>
      <c r="B18" s="5" t="n">
        <v>2021</v>
      </c>
      <c r="C18" s="5" t="n">
        <v>11996</v>
      </c>
      <c r="D18" s="5" t="n">
        <v>11996</v>
      </c>
      <c r="E18" s="7">
        <f>D18/C18</f>
        <v/>
      </c>
      <c r="F18" s="19" t="n">
        <v>1725.97</v>
      </c>
      <c r="G18" s="19" t="n"/>
      <c r="H18" s="7" t="n"/>
    </row>
    <row r="19">
      <c r="A19" s="5" t="inlineStr">
        <is>
          <t>own_damage</t>
        </is>
      </c>
      <c r="B19" s="5" t="n">
        <v>2022</v>
      </c>
      <c r="C19" s="5" t="n">
        <v>13064</v>
      </c>
      <c r="D19" s="5" t="n">
        <v>13064</v>
      </c>
      <c r="E19" s="7">
        <f>D19/C19</f>
        <v/>
      </c>
      <c r="F19" s="19" t="n">
        <v>1796.59</v>
      </c>
      <c r="G19" s="19" t="n"/>
      <c r="H19" s="7" t="n"/>
    </row>
    <row r="20">
      <c r="A20" s="5" t="inlineStr">
        <is>
          <t>own_damage</t>
        </is>
      </c>
      <c r="B20" s="5" t="n">
        <v>2023</v>
      </c>
      <c r="C20" s="5" t="n">
        <v>11883</v>
      </c>
      <c r="D20" s="5" t="n">
        <v>11862</v>
      </c>
      <c r="E20" s="7">
        <f>D20/C20</f>
        <v/>
      </c>
      <c r="F20" s="19" t="n">
        <v>1874.75</v>
      </c>
      <c r="G20" s="19" t="n">
        <v>1810.22</v>
      </c>
      <c r="H20" s="7" t="n">
        <v>0.3435</v>
      </c>
    </row>
    <row r="21">
      <c r="A21" s="5" t="inlineStr">
        <is>
          <t>own_damage</t>
        </is>
      </c>
      <c r="B21" s="5" t="n">
        <v>2024</v>
      </c>
      <c r="C21" s="5" t="n">
        <v>11537</v>
      </c>
      <c r="D21" s="5" t="n">
        <v>9566</v>
      </c>
      <c r="E21" s="7">
        <f>D21/C21</f>
        <v/>
      </c>
      <c r="F21" s="19" t="n">
        <v>1889.77</v>
      </c>
      <c r="G21" s="19" t="n">
        <v>2764.21</v>
      </c>
      <c r="H21" s="7" t="n">
        <v>0.2456</v>
      </c>
    </row>
    <row r="22">
      <c r="A22" s="5" t="inlineStr">
        <is>
          <t>theft</t>
        </is>
      </c>
      <c r="B22" s="5" t="n">
        <v>2020</v>
      </c>
      <c r="C22" s="5" t="n">
        <v>11</v>
      </c>
      <c r="D22" s="5" t="n">
        <v>11</v>
      </c>
      <c r="E22" s="7">
        <f>D22/C22</f>
        <v/>
      </c>
      <c r="F22" s="19" t="n">
        <v>4672.08</v>
      </c>
      <c r="G22" s="19" t="n"/>
      <c r="H22" s="7" t="n"/>
    </row>
    <row r="23">
      <c r="A23" s="5" t="inlineStr">
        <is>
          <t>theft</t>
        </is>
      </c>
      <c r="B23" s="5" t="n">
        <v>2021</v>
      </c>
      <c r="C23" s="5" t="n">
        <v>1481</v>
      </c>
      <c r="D23" s="5" t="n">
        <v>1481</v>
      </c>
      <c r="E23" s="7">
        <f>D23/C23</f>
        <v/>
      </c>
      <c r="F23" s="19" t="n">
        <v>6070.55</v>
      </c>
      <c r="G23" s="19" t="n"/>
      <c r="H23" s="7" t="n"/>
    </row>
    <row r="24">
      <c r="A24" s="5" t="inlineStr">
        <is>
          <t>theft</t>
        </is>
      </c>
      <c r="B24" s="5" t="n">
        <v>2022</v>
      </c>
      <c r="C24" s="5" t="n">
        <v>1561</v>
      </c>
      <c r="D24" s="5" t="n">
        <v>1560</v>
      </c>
      <c r="E24" s="7">
        <f>D24/C24</f>
        <v/>
      </c>
      <c r="F24" s="19" t="n">
        <v>5901.9</v>
      </c>
      <c r="G24" s="19" t="n">
        <v>30758.13</v>
      </c>
      <c r="H24" s="7" t="n">
        <v>0.5553</v>
      </c>
    </row>
    <row r="25">
      <c r="A25" s="5" t="inlineStr">
        <is>
          <t>theft</t>
        </is>
      </c>
      <c r="B25" s="5" t="n">
        <v>2023</v>
      </c>
      <c r="C25" s="5" t="n">
        <v>1602</v>
      </c>
      <c r="D25" s="5" t="n">
        <v>1601</v>
      </c>
      <c r="E25" s="7">
        <f>D25/C25</f>
        <v/>
      </c>
      <c r="F25" s="19" t="n">
        <v>6660.1</v>
      </c>
      <c r="G25" s="19" t="n">
        <v>4717.25</v>
      </c>
      <c r="H25" s="7" t="n">
        <v>0.07679999999999999</v>
      </c>
    </row>
    <row r="26">
      <c r="A26" s="5" t="inlineStr">
        <is>
          <t>theft</t>
        </is>
      </c>
      <c r="B26" s="5" t="n">
        <v>2024</v>
      </c>
      <c r="C26" s="5" t="n">
        <v>1503</v>
      </c>
      <c r="D26" s="5" t="n">
        <v>1261</v>
      </c>
      <c r="E26" s="7">
        <f>D26/C26</f>
        <v/>
      </c>
      <c r="F26" s="19" t="n">
        <v>6396.83</v>
      </c>
      <c r="G26" s="19" t="n">
        <v>7411.56</v>
      </c>
      <c r="H26" s="7" t="n">
        <v>0.2225</v>
      </c>
    </row>
    <row r="27">
      <c r="A27" s="5" t="inlineStr">
        <is>
          <t>third_party_prop</t>
        </is>
      </c>
      <c r="B27" s="5" t="n">
        <v>2020</v>
      </c>
      <c r="C27" s="5" t="n">
        <v>50</v>
      </c>
      <c r="D27" s="5" t="n">
        <v>50</v>
      </c>
      <c r="E27" s="7">
        <f>D27/C27</f>
        <v/>
      </c>
      <c r="F27" s="19" t="n">
        <v>3939.39</v>
      </c>
      <c r="G27" s="19" t="n"/>
      <c r="H27" s="7" t="n"/>
    </row>
    <row r="28">
      <c r="A28" s="5" t="inlineStr">
        <is>
          <t>third_party_prop</t>
        </is>
      </c>
      <c r="B28" s="5" t="n">
        <v>2021</v>
      </c>
      <c r="C28" s="5" t="n">
        <v>8193</v>
      </c>
      <c r="D28" s="5" t="n">
        <v>8193</v>
      </c>
      <c r="E28" s="7">
        <f>D28/C28</f>
        <v/>
      </c>
      <c r="F28" s="19" t="n">
        <v>3284.89</v>
      </c>
      <c r="G28" s="19" t="n"/>
      <c r="H28" s="7" t="n"/>
    </row>
    <row r="29">
      <c r="A29" s="5" t="inlineStr">
        <is>
          <t>third_party_prop</t>
        </is>
      </c>
      <c r="B29" s="5" t="n">
        <v>2022</v>
      </c>
      <c r="C29" s="5" t="n">
        <v>8923</v>
      </c>
      <c r="D29" s="5" t="n">
        <v>8923</v>
      </c>
      <c r="E29" s="7">
        <f>D29/C29</f>
        <v/>
      </c>
      <c r="F29" s="19" t="n">
        <v>3527.39</v>
      </c>
      <c r="G29" s="19" t="n"/>
      <c r="H29" s="7" t="n"/>
    </row>
    <row r="30">
      <c r="A30" s="5" t="inlineStr">
        <is>
          <t>third_party_prop</t>
        </is>
      </c>
      <c r="B30" s="5" t="n">
        <v>2023</v>
      </c>
      <c r="C30" s="5" t="n">
        <v>8365</v>
      </c>
      <c r="D30" s="5" t="n">
        <v>8313</v>
      </c>
      <c r="E30" s="7">
        <f>D30/C30</f>
        <v/>
      </c>
      <c r="F30" s="19" t="n">
        <v>3818.15</v>
      </c>
      <c r="G30" s="19" t="n">
        <v>4496.53</v>
      </c>
      <c r="H30" s="7" t="n">
        <v>0.4086</v>
      </c>
    </row>
    <row r="31">
      <c r="A31" s="5" t="inlineStr">
        <is>
          <t>third_party_prop</t>
        </is>
      </c>
      <c r="B31" s="5" t="n">
        <v>2024</v>
      </c>
      <c r="C31" s="5" t="n">
        <v>7626</v>
      </c>
      <c r="D31" s="5" t="n">
        <v>5582</v>
      </c>
      <c r="E31" s="7">
        <f>D31/C31</f>
        <v/>
      </c>
      <c r="F31" s="19" t="n">
        <v>4071.64</v>
      </c>
      <c r="G31" s="19" t="n">
        <v>4287.66</v>
      </c>
      <c r="H31" s="7" t="n">
        <v>0.2355</v>
      </c>
    </row>
    <row r="32"/>
    <row r="33">
      <c r="A33" s="2" t="inlineStr">
        <is>
          <t>BUILDINGS</t>
        </is>
      </c>
    </row>
    <row r="34">
      <c r="A34" s="4" t="inlineStr">
        <is>
          <t>Peril</t>
        </is>
      </c>
      <c r="B34" s="4" t="inlineStr">
        <is>
          <t>Loss Year</t>
        </is>
      </c>
      <c r="C34" s="4" t="inlineStr">
        <is>
          <t>Total Claims</t>
        </is>
      </c>
      <c r="D34" s="4" t="inlineStr">
        <is>
          <t>Closed Claims</t>
        </is>
      </c>
      <c r="E34" s="4" t="inlineStr">
        <is>
          <t>% Closed</t>
        </is>
      </c>
      <c r="F34" s="4" t="inlineStr">
        <is>
          <t>Closed Avg Incurred</t>
        </is>
      </c>
      <c r="G34" s="4" t="inlineStr">
        <is>
          <t>Open Avg Incurred</t>
        </is>
      </c>
      <c r="H34" s="4" t="inlineStr">
        <is>
          <t>Open Paid/Inc %</t>
        </is>
      </c>
    </row>
    <row r="35">
      <c r="A35" s="5" t="inlineStr">
        <is>
          <t>accidental_damage</t>
        </is>
      </c>
      <c r="B35" s="5" t="n">
        <v>2020</v>
      </c>
      <c r="C35" s="5" t="n">
        <v>5</v>
      </c>
      <c r="D35" s="5" t="n">
        <v>5</v>
      </c>
      <c r="E35" s="7">
        <f>D35/C35</f>
        <v/>
      </c>
      <c r="F35" s="19" t="n">
        <v>1320.9</v>
      </c>
      <c r="G35" s="19" t="n"/>
      <c r="H35" s="7" t="n"/>
    </row>
    <row r="36">
      <c r="A36" s="5" t="inlineStr">
        <is>
          <t>accidental_damage</t>
        </is>
      </c>
      <c r="B36" s="5" t="n">
        <v>2021</v>
      </c>
      <c r="C36" s="5" t="n">
        <v>877</v>
      </c>
      <c r="D36" s="5" t="n">
        <v>877</v>
      </c>
      <c r="E36" s="7">
        <f>D36/C36</f>
        <v/>
      </c>
      <c r="F36" s="19" t="n">
        <v>1175.87</v>
      </c>
      <c r="G36" s="19" t="n"/>
      <c r="H36" s="7" t="n"/>
    </row>
    <row r="37">
      <c r="A37" s="5" t="inlineStr">
        <is>
          <t>accidental_damage</t>
        </is>
      </c>
      <c r="B37" s="5" t="n">
        <v>2022</v>
      </c>
      <c r="C37" s="5" t="n">
        <v>1010</v>
      </c>
      <c r="D37" s="5" t="n">
        <v>1010</v>
      </c>
      <c r="E37" s="7">
        <f>D37/C37</f>
        <v/>
      </c>
      <c r="F37" s="19" t="n">
        <v>1234.17</v>
      </c>
      <c r="G37" s="19" t="n"/>
      <c r="H37" s="7" t="n"/>
    </row>
    <row r="38">
      <c r="A38" s="5" t="inlineStr">
        <is>
          <t>accidental_damage</t>
        </is>
      </c>
      <c r="B38" s="5" t="n">
        <v>2023</v>
      </c>
      <c r="C38" s="5" t="n">
        <v>967</v>
      </c>
      <c r="D38" s="5" t="n">
        <v>967</v>
      </c>
      <c r="E38" s="7">
        <f>D38/C38</f>
        <v/>
      </c>
      <c r="F38" s="19" t="n">
        <v>1167.33</v>
      </c>
      <c r="G38" s="19" t="n"/>
      <c r="H38" s="7" t="n"/>
    </row>
    <row r="39">
      <c r="A39" s="5" t="inlineStr">
        <is>
          <t>accidental_damage</t>
        </is>
      </c>
      <c r="B39" s="5" t="n">
        <v>2024</v>
      </c>
      <c r="C39" s="5" t="n">
        <v>989</v>
      </c>
      <c r="D39" s="5" t="n">
        <v>916</v>
      </c>
      <c r="E39" s="7">
        <f>D39/C39</f>
        <v/>
      </c>
      <c r="F39" s="19" t="n">
        <v>1253.18</v>
      </c>
      <c r="G39" s="19" t="n">
        <v>1699.22</v>
      </c>
      <c r="H39" s="7" t="n">
        <v>0.2915</v>
      </c>
    </row>
    <row r="40">
      <c r="A40" s="5" t="inlineStr">
        <is>
          <t>escape_of_water</t>
        </is>
      </c>
      <c r="B40" s="5" t="n">
        <v>2020</v>
      </c>
      <c r="C40" s="5" t="n">
        <v>16</v>
      </c>
      <c r="D40" s="5" t="n">
        <v>16</v>
      </c>
      <c r="E40" s="7">
        <f>D40/C40</f>
        <v/>
      </c>
      <c r="F40" s="19" t="n">
        <v>3823.8</v>
      </c>
      <c r="G40" s="19" t="n"/>
      <c r="H40" s="7" t="n"/>
    </row>
    <row r="41">
      <c r="A41" s="5" t="inlineStr">
        <is>
          <t>escape_of_water</t>
        </is>
      </c>
      <c r="B41" s="5" t="n">
        <v>2021</v>
      </c>
      <c r="C41" s="5" t="n">
        <v>2480</v>
      </c>
      <c r="D41" s="5" t="n">
        <v>2480</v>
      </c>
      <c r="E41" s="7">
        <f>D41/C41</f>
        <v/>
      </c>
      <c r="F41" s="19" t="n">
        <v>5129.73</v>
      </c>
      <c r="G41" s="19" t="n"/>
      <c r="H41" s="7" t="n"/>
    </row>
    <row r="42">
      <c r="A42" s="5" t="inlineStr">
        <is>
          <t>escape_of_water</t>
        </is>
      </c>
      <c r="B42" s="5" t="n">
        <v>2022</v>
      </c>
      <c r="C42" s="5" t="n">
        <v>2569</v>
      </c>
      <c r="D42" s="5" t="n">
        <v>2569</v>
      </c>
      <c r="E42" s="7">
        <f>D42/C42</f>
        <v/>
      </c>
      <c r="F42" s="19" t="n">
        <v>5338.66</v>
      </c>
      <c r="G42" s="19" t="n"/>
      <c r="H42" s="7" t="n"/>
    </row>
    <row r="43">
      <c r="A43" s="5" t="inlineStr">
        <is>
          <t>escape_of_water</t>
        </is>
      </c>
      <c r="B43" s="5" t="n">
        <v>2023</v>
      </c>
      <c r="C43" s="5" t="n">
        <v>2514</v>
      </c>
      <c r="D43" s="5" t="n">
        <v>2499</v>
      </c>
      <c r="E43" s="7">
        <f>D43/C43</f>
        <v/>
      </c>
      <c r="F43" s="19" t="n">
        <v>5955.59</v>
      </c>
      <c r="G43" s="19" t="n">
        <v>9143.440000000001</v>
      </c>
      <c r="H43" s="7" t="n">
        <v>0.3506</v>
      </c>
    </row>
    <row r="44">
      <c r="A44" s="5" t="inlineStr">
        <is>
          <t>escape_of_water</t>
        </is>
      </c>
      <c r="B44" s="5" t="n">
        <v>2024</v>
      </c>
      <c r="C44" s="5" t="n">
        <v>2558</v>
      </c>
      <c r="D44" s="5" t="n">
        <v>1880</v>
      </c>
      <c r="E44" s="7">
        <f>D44/C44</f>
        <v/>
      </c>
      <c r="F44" s="19" t="n">
        <v>6291.64</v>
      </c>
      <c r="G44" s="19" t="n">
        <v>7036.77</v>
      </c>
      <c r="H44" s="7" t="n">
        <v>0.2095</v>
      </c>
    </row>
    <row r="45">
      <c r="A45" s="5" t="inlineStr">
        <is>
          <t>fire</t>
        </is>
      </c>
      <c r="B45" s="5" t="n">
        <v>2021</v>
      </c>
      <c r="C45" s="5" t="n">
        <v>236</v>
      </c>
      <c r="D45" s="5" t="n">
        <v>235</v>
      </c>
      <c r="E45" s="7">
        <f>D45/C45</f>
        <v/>
      </c>
      <c r="F45" s="19" t="n">
        <v>54414.5</v>
      </c>
      <c r="G45" s="19" t="n">
        <v>38532.39</v>
      </c>
      <c r="H45" s="7" t="n">
        <v>0.8185</v>
      </c>
    </row>
    <row r="46">
      <c r="A46" s="5" t="inlineStr">
        <is>
          <t>fire</t>
        </is>
      </c>
      <c r="B46" s="5" t="n">
        <v>2022</v>
      </c>
      <c r="C46" s="5" t="n">
        <v>291</v>
      </c>
      <c r="D46" s="5" t="n">
        <v>287</v>
      </c>
      <c r="E46" s="7">
        <f>D46/C46</f>
        <v/>
      </c>
      <c r="F46" s="19" t="n">
        <v>51114.02</v>
      </c>
      <c r="G46" s="19" t="n">
        <v>78630.2</v>
      </c>
      <c r="H46" s="7" t="n">
        <v>0.396</v>
      </c>
    </row>
    <row r="47">
      <c r="A47" s="5" t="inlineStr">
        <is>
          <t>fire</t>
        </is>
      </c>
      <c r="B47" s="5" t="n">
        <v>2023</v>
      </c>
      <c r="C47" s="5" t="n">
        <v>279</v>
      </c>
      <c r="D47" s="5" t="n">
        <v>265</v>
      </c>
      <c r="E47" s="7">
        <f>D47/C47</f>
        <v/>
      </c>
      <c r="F47" s="19" t="n">
        <v>51097.2</v>
      </c>
      <c r="G47" s="19" t="n">
        <v>39372.07</v>
      </c>
      <c r="H47" s="7" t="n">
        <v>0.4347</v>
      </c>
    </row>
    <row r="48">
      <c r="A48" s="5" t="inlineStr">
        <is>
          <t>fire</t>
        </is>
      </c>
      <c r="B48" s="5" t="n">
        <v>2024</v>
      </c>
      <c r="C48" s="5" t="n">
        <v>309</v>
      </c>
      <c r="D48" s="5" t="n">
        <v>179</v>
      </c>
      <c r="E48" s="7">
        <f>D48/C48</f>
        <v/>
      </c>
      <c r="F48" s="19" t="n">
        <v>58383.81</v>
      </c>
      <c r="G48" s="19" t="n">
        <v>40580.29</v>
      </c>
      <c r="H48" s="7" t="n">
        <v>0.2392</v>
      </c>
    </row>
    <row r="49">
      <c r="A49" s="5" t="inlineStr">
        <is>
          <t>flood</t>
        </is>
      </c>
      <c r="B49" s="5" t="n">
        <v>2020</v>
      </c>
      <c r="C49" s="5" t="n">
        <v>4</v>
      </c>
      <c r="D49" s="5" t="n">
        <v>4</v>
      </c>
      <c r="E49" s="7">
        <f>D49/C49</f>
        <v/>
      </c>
      <c r="F49" s="19" t="n">
        <v>21083.01</v>
      </c>
      <c r="G49" s="19" t="n"/>
      <c r="H49" s="7" t="n"/>
    </row>
    <row r="50">
      <c r="A50" s="5" t="inlineStr">
        <is>
          <t>flood</t>
        </is>
      </c>
      <c r="B50" s="5" t="n">
        <v>2021</v>
      </c>
      <c r="C50" s="5" t="n">
        <v>554</v>
      </c>
      <c r="D50" s="5" t="n">
        <v>551</v>
      </c>
      <c r="E50" s="7">
        <f>D50/C50</f>
        <v/>
      </c>
      <c r="F50" s="19" t="n">
        <v>28377.43</v>
      </c>
      <c r="G50" s="19" t="n">
        <v>51691.3</v>
      </c>
      <c r="H50" s="7" t="n">
        <v>0.3429</v>
      </c>
    </row>
    <row r="51">
      <c r="A51" s="5" t="inlineStr">
        <is>
          <t>flood</t>
        </is>
      </c>
      <c r="B51" s="5" t="n">
        <v>2022</v>
      </c>
      <c r="C51" s="5" t="n">
        <v>593</v>
      </c>
      <c r="D51" s="5" t="n">
        <v>588</v>
      </c>
      <c r="E51" s="7">
        <f>D51/C51</f>
        <v/>
      </c>
      <c r="F51" s="19" t="n">
        <v>29449.72</v>
      </c>
      <c r="G51" s="19" t="n">
        <v>34150.01</v>
      </c>
      <c r="H51" s="7" t="n">
        <v>0.259</v>
      </c>
    </row>
    <row r="52">
      <c r="A52" s="5" t="inlineStr">
        <is>
          <t>flood</t>
        </is>
      </c>
      <c r="B52" s="5" t="n">
        <v>2023</v>
      </c>
      <c r="C52" s="5" t="n">
        <v>551</v>
      </c>
      <c r="D52" s="5" t="n">
        <v>517</v>
      </c>
      <c r="E52" s="7">
        <f>D52/C52</f>
        <v/>
      </c>
      <c r="F52" s="19" t="n">
        <v>32599.53</v>
      </c>
      <c r="G52" s="19" t="n">
        <v>36910.52</v>
      </c>
      <c r="H52" s="7" t="n">
        <v>0.3579</v>
      </c>
    </row>
    <row r="53">
      <c r="A53" s="5" t="inlineStr">
        <is>
          <t>flood</t>
        </is>
      </c>
      <c r="B53" s="5" t="n">
        <v>2024</v>
      </c>
      <c r="C53" s="5" t="n">
        <v>530</v>
      </c>
      <c r="D53" s="5" t="n">
        <v>336</v>
      </c>
      <c r="E53" s="7">
        <f>D53/C53</f>
        <v/>
      </c>
      <c r="F53" s="19" t="n">
        <v>34065.3</v>
      </c>
      <c r="G53" s="19" t="n">
        <v>36469.94</v>
      </c>
      <c r="H53" s="7" t="n">
        <v>0.2225</v>
      </c>
    </row>
    <row r="54">
      <c r="A54" s="5" t="inlineStr">
        <is>
          <t>storm</t>
        </is>
      </c>
      <c r="B54" s="5" t="n">
        <v>2020</v>
      </c>
      <c r="C54" s="5" t="n">
        <v>20</v>
      </c>
      <c r="D54" s="5" t="n">
        <v>20</v>
      </c>
      <c r="E54" s="7">
        <f>D54/C54</f>
        <v/>
      </c>
      <c r="F54" s="19" t="n">
        <v>4247.83</v>
      </c>
      <c r="G54" s="19" t="n"/>
      <c r="H54" s="7" t="n"/>
    </row>
    <row r="55">
      <c r="A55" s="5" t="inlineStr">
        <is>
          <t>storm</t>
        </is>
      </c>
      <c r="B55" s="5" t="n">
        <v>2021</v>
      </c>
      <c r="C55" s="5" t="n">
        <v>1774</v>
      </c>
      <c r="D55" s="5" t="n">
        <v>1774</v>
      </c>
      <c r="E55" s="7">
        <f>D55/C55</f>
        <v/>
      </c>
      <c r="F55" s="19" t="n">
        <v>3079.17</v>
      </c>
      <c r="G55" s="19" t="n"/>
      <c r="H55" s="7" t="n"/>
    </row>
    <row r="56">
      <c r="A56" s="5" t="inlineStr">
        <is>
          <t>storm</t>
        </is>
      </c>
      <c r="B56" s="5" t="n">
        <v>2022</v>
      </c>
      <c r="C56" s="5" t="n">
        <v>1996</v>
      </c>
      <c r="D56" s="5" t="n">
        <v>1996</v>
      </c>
      <c r="E56" s="7">
        <f>D56/C56</f>
        <v/>
      </c>
      <c r="F56" s="19" t="n">
        <v>3201.06</v>
      </c>
      <c r="G56" s="19" t="n"/>
      <c r="H56" s="7" t="n"/>
    </row>
    <row r="57">
      <c r="A57" s="5" t="inlineStr">
        <is>
          <t>storm</t>
        </is>
      </c>
      <c r="B57" s="5" t="n">
        <v>2023</v>
      </c>
      <c r="C57" s="5" t="n">
        <v>2132</v>
      </c>
      <c r="D57" s="5" t="n">
        <v>2126</v>
      </c>
      <c r="E57" s="7">
        <f>D57/C57</f>
        <v/>
      </c>
      <c r="F57" s="19" t="n">
        <v>3621.86</v>
      </c>
      <c r="G57" s="19" t="n">
        <v>3177.52</v>
      </c>
      <c r="H57" s="7" t="n">
        <v>0.3413</v>
      </c>
    </row>
    <row r="58">
      <c r="A58" s="5" t="inlineStr">
        <is>
          <t>storm</t>
        </is>
      </c>
      <c r="B58" s="5" t="n">
        <v>2024</v>
      </c>
      <c r="C58" s="5" t="n">
        <v>1894</v>
      </c>
      <c r="D58" s="5" t="n">
        <v>1549</v>
      </c>
      <c r="E58" s="7">
        <f>D58/C58</f>
        <v/>
      </c>
      <c r="F58" s="19" t="n">
        <v>3845.17</v>
      </c>
      <c r="G58" s="19" t="n">
        <v>4013.62</v>
      </c>
      <c r="H58" s="7" t="n">
        <v>0.2211</v>
      </c>
    </row>
    <row r="59">
      <c r="A59" s="5" t="inlineStr">
        <is>
          <t>subsidence</t>
        </is>
      </c>
      <c r="B59" s="5" t="n">
        <v>2020</v>
      </c>
      <c r="C59" s="5" t="n">
        <v>1</v>
      </c>
      <c r="D59" s="5" t="n">
        <v>1</v>
      </c>
      <c r="E59" s="7">
        <f>D59/C59</f>
        <v/>
      </c>
      <c r="F59" s="19" t="n">
        <v>953.62</v>
      </c>
      <c r="G59" s="19" t="n"/>
      <c r="H59" s="7" t="n"/>
    </row>
    <row r="60">
      <c r="A60" s="5" t="inlineStr">
        <is>
          <t>subsidence</t>
        </is>
      </c>
      <c r="B60" s="5" t="n">
        <v>2021</v>
      </c>
      <c r="C60" s="5" t="n">
        <v>283</v>
      </c>
      <c r="D60" s="5" t="n">
        <v>270</v>
      </c>
      <c r="E60" s="7">
        <f>D60/C60</f>
        <v/>
      </c>
      <c r="F60" s="19" t="n">
        <v>22387.02</v>
      </c>
      <c r="G60" s="19" t="n">
        <v>15033.39</v>
      </c>
      <c r="H60" s="7" t="n">
        <v>0.4512</v>
      </c>
    </row>
    <row r="61">
      <c r="A61" s="5" t="inlineStr">
        <is>
          <t>subsidence</t>
        </is>
      </c>
      <c r="B61" s="5" t="n">
        <v>2022</v>
      </c>
      <c r="C61" s="5" t="n">
        <v>338</v>
      </c>
      <c r="D61" s="5" t="n">
        <v>292</v>
      </c>
      <c r="E61" s="7">
        <f>D61/C61</f>
        <v/>
      </c>
      <c r="F61" s="19" t="n">
        <v>22669.27</v>
      </c>
      <c r="G61" s="19" t="n">
        <v>24653.88</v>
      </c>
      <c r="H61" s="7" t="n">
        <v>0.3518</v>
      </c>
    </row>
    <row r="62">
      <c r="A62" s="5" t="inlineStr">
        <is>
          <t>subsidence</t>
        </is>
      </c>
      <c r="B62" s="5" t="n">
        <v>2023</v>
      </c>
      <c r="C62" s="5" t="n">
        <v>381</v>
      </c>
      <c r="D62" s="5" t="n">
        <v>249</v>
      </c>
      <c r="E62" s="20">
        <f>D62/C62</f>
        <v/>
      </c>
      <c r="F62" s="19" t="n">
        <v>22318.56</v>
      </c>
      <c r="G62" s="19" t="n">
        <v>25250.44</v>
      </c>
      <c r="H62" s="7" t="n">
        <v>0.2659</v>
      </c>
    </row>
    <row r="63">
      <c r="A63" s="5" t="inlineStr">
        <is>
          <t>subsidence</t>
        </is>
      </c>
      <c r="B63" s="5" t="n">
        <v>2024</v>
      </c>
      <c r="C63" s="5" t="n">
        <v>291</v>
      </c>
      <c r="D63" s="5" t="n">
        <v>91</v>
      </c>
      <c r="E63" s="20">
        <f>D63/C63</f>
        <v/>
      </c>
      <c r="F63" s="19" t="n">
        <v>28420.19</v>
      </c>
      <c r="G63" s="19" t="n">
        <v>26542.17</v>
      </c>
      <c r="H63" s="7" t="n">
        <v>0.1562</v>
      </c>
    </row>
    <row r="64"/>
    <row r="65">
      <c r="A65" s="2" t="inlineStr">
        <is>
          <t>CONTENTS</t>
        </is>
      </c>
    </row>
    <row r="66">
      <c r="A66" s="4" t="inlineStr">
        <is>
          <t>Peril</t>
        </is>
      </c>
      <c r="B66" s="4" t="inlineStr">
        <is>
          <t>Loss Year</t>
        </is>
      </c>
      <c r="C66" s="4" t="inlineStr">
        <is>
          <t>Total Claims</t>
        </is>
      </c>
      <c r="D66" s="4" t="inlineStr">
        <is>
          <t>Closed Claims</t>
        </is>
      </c>
      <c r="E66" s="4" t="inlineStr">
        <is>
          <t>% Closed</t>
        </is>
      </c>
      <c r="F66" s="4" t="inlineStr">
        <is>
          <t>Closed Avg Incurred</t>
        </is>
      </c>
      <c r="G66" s="4" t="inlineStr">
        <is>
          <t>Open Avg Incurred</t>
        </is>
      </c>
      <c r="H66" s="4" t="inlineStr">
        <is>
          <t>Open Paid/Inc %</t>
        </is>
      </c>
    </row>
    <row r="67">
      <c r="A67" s="5" t="inlineStr">
        <is>
          <t>accidental_damage</t>
        </is>
      </c>
      <c r="B67" s="5" t="n">
        <v>2020</v>
      </c>
      <c r="C67" s="5" t="n">
        <v>8</v>
      </c>
      <c r="D67" s="5" t="n">
        <v>8</v>
      </c>
      <c r="E67" s="7">
        <f>D67/C67</f>
        <v/>
      </c>
      <c r="F67" s="19" t="n">
        <v>908.48</v>
      </c>
      <c r="G67" s="19" t="n"/>
      <c r="H67" s="7" t="n"/>
    </row>
    <row r="68">
      <c r="A68" s="5" t="inlineStr">
        <is>
          <t>accidental_damage</t>
        </is>
      </c>
      <c r="B68" s="5" t="n">
        <v>2021</v>
      </c>
      <c r="C68" s="5" t="n">
        <v>2167</v>
      </c>
      <c r="D68" s="5" t="n">
        <v>2167</v>
      </c>
      <c r="E68" s="7">
        <f>D68/C68</f>
        <v/>
      </c>
      <c r="F68" s="19" t="n">
        <v>763.38</v>
      </c>
      <c r="G68" s="19" t="n"/>
      <c r="H68" s="7" t="n"/>
    </row>
    <row r="69">
      <c r="A69" s="5" t="inlineStr">
        <is>
          <t>accidental_damage</t>
        </is>
      </c>
      <c r="B69" s="5" t="n">
        <v>2022</v>
      </c>
      <c r="C69" s="5" t="n">
        <v>2268</v>
      </c>
      <c r="D69" s="5" t="n">
        <v>2268</v>
      </c>
      <c r="E69" s="7">
        <f>D69/C69</f>
        <v/>
      </c>
      <c r="F69" s="19" t="n">
        <v>755.8099999999999</v>
      </c>
      <c r="G69" s="19" t="n"/>
      <c r="H69" s="7" t="n"/>
    </row>
    <row r="70">
      <c r="A70" s="5" t="inlineStr">
        <is>
          <t>accidental_damage</t>
        </is>
      </c>
      <c r="B70" s="5" t="n">
        <v>2023</v>
      </c>
      <c r="C70" s="5" t="n">
        <v>2371</v>
      </c>
      <c r="D70" s="5" t="n">
        <v>2370</v>
      </c>
      <c r="E70" s="7">
        <f>D70/C70</f>
        <v/>
      </c>
      <c r="F70" s="19" t="n">
        <v>783.53</v>
      </c>
      <c r="G70" s="19" t="n">
        <v>572.92</v>
      </c>
      <c r="H70" s="7" t="n">
        <v>0.6308</v>
      </c>
    </row>
    <row r="71">
      <c r="A71" s="5" t="inlineStr">
        <is>
          <t>accidental_damage</t>
        </is>
      </c>
      <c r="B71" s="5" t="n">
        <v>2024</v>
      </c>
      <c r="C71" s="5" t="n">
        <v>2289</v>
      </c>
      <c r="D71" s="5" t="n">
        <v>2098</v>
      </c>
      <c r="E71" s="7">
        <f>D71/C71</f>
        <v/>
      </c>
      <c r="F71" s="19" t="n">
        <v>810.62</v>
      </c>
      <c r="G71" s="19" t="n">
        <v>960.35</v>
      </c>
      <c r="H71" s="7" t="n">
        <v>0.2549</v>
      </c>
    </row>
    <row r="72">
      <c r="A72" s="5" t="inlineStr">
        <is>
          <t>escape_of_water</t>
        </is>
      </c>
      <c r="B72" s="5" t="n">
        <v>2020</v>
      </c>
      <c r="C72" s="5" t="n">
        <v>8</v>
      </c>
      <c r="D72" s="5" t="n">
        <v>8</v>
      </c>
      <c r="E72" s="7">
        <f>D72/C72</f>
        <v/>
      </c>
      <c r="F72" s="19" t="n">
        <v>3333.72</v>
      </c>
      <c r="G72" s="19" t="n"/>
      <c r="H72" s="7" t="n"/>
    </row>
    <row r="73">
      <c r="A73" s="5" t="inlineStr">
        <is>
          <t>escape_of_water</t>
        </is>
      </c>
      <c r="B73" s="5" t="n">
        <v>2021</v>
      </c>
      <c r="C73" s="5" t="n">
        <v>1273</v>
      </c>
      <c r="D73" s="5" t="n">
        <v>1273</v>
      </c>
      <c r="E73" s="7">
        <f>D73/C73</f>
        <v/>
      </c>
      <c r="F73" s="19" t="n">
        <v>2589.29</v>
      </c>
      <c r="G73" s="19" t="n"/>
      <c r="H73" s="7" t="n"/>
    </row>
    <row r="74">
      <c r="A74" s="5" t="inlineStr">
        <is>
          <t>escape_of_water</t>
        </is>
      </c>
      <c r="B74" s="5" t="n">
        <v>2022</v>
      </c>
      <c r="C74" s="5" t="n">
        <v>1391</v>
      </c>
      <c r="D74" s="5" t="n">
        <v>1391</v>
      </c>
      <c r="E74" s="7">
        <f>D74/C74</f>
        <v/>
      </c>
      <c r="F74" s="19" t="n">
        <v>2773.26</v>
      </c>
      <c r="G74" s="19" t="n"/>
      <c r="H74" s="7" t="n"/>
    </row>
    <row r="75">
      <c r="A75" s="5" t="inlineStr">
        <is>
          <t>escape_of_water</t>
        </is>
      </c>
      <c r="B75" s="5" t="n">
        <v>2023</v>
      </c>
      <c r="C75" s="5" t="n">
        <v>1373</v>
      </c>
      <c r="D75" s="5" t="n">
        <v>1372</v>
      </c>
      <c r="E75" s="7">
        <f>D75/C75</f>
        <v/>
      </c>
      <c r="F75" s="19" t="n">
        <v>2770.95</v>
      </c>
      <c r="G75" s="19" t="n">
        <v>1528.73</v>
      </c>
      <c r="H75" s="7" t="n">
        <v>0.837</v>
      </c>
    </row>
    <row r="76">
      <c r="A76" s="5" t="inlineStr">
        <is>
          <t>escape_of_water</t>
        </is>
      </c>
      <c r="B76" s="5" t="n">
        <v>2024</v>
      </c>
      <c r="C76" s="5" t="n">
        <v>1362</v>
      </c>
      <c r="D76" s="5" t="n">
        <v>1130</v>
      </c>
      <c r="E76" s="7">
        <f>D76/C76</f>
        <v/>
      </c>
      <c r="F76" s="19" t="n">
        <v>2779.78</v>
      </c>
      <c r="G76" s="19" t="n">
        <v>2965.84</v>
      </c>
      <c r="H76" s="7" t="n">
        <v>0.2113</v>
      </c>
    </row>
    <row r="77">
      <c r="A77" s="5" t="inlineStr">
        <is>
          <t>flood</t>
        </is>
      </c>
      <c r="B77" s="5" t="n">
        <v>2020</v>
      </c>
      <c r="C77" s="5" t="n">
        <v>2</v>
      </c>
      <c r="D77" s="5" t="n">
        <v>2</v>
      </c>
      <c r="E77" s="7">
        <f>D77/C77</f>
        <v/>
      </c>
      <c r="F77" s="19" t="n">
        <v>16259.23</v>
      </c>
      <c r="G77" s="19" t="n"/>
      <c r="H77" s="7" t="n"/>
    </row>
    <row r="78">
      <c r="A78" s="5" t="inlineStr">
        <is>
          <t>flood</t>
        </is>
      </c>
      <c r="B78" s="5" t="n">
        <v>2021</v>
      </c>
      <c r="C78" s="5" t="n">
        <v>405</v>
      </c>
      <c r="D78" s="5" t="n">
        <v>405</v>
      </c>
      <c r="E78" s="7">
        <f>D78/C78</f>
        <v/>
      </c>
      <c r="F78" s="19" t="n">
        <v>9511.459999999999</v>
      </c>
      <c r="G78" s="19" t="n"/>
      <c r="H78" s="7" t="n"/>
    </row>
    <row r="79">
      <c r="A79" s="5" t="inlineStr">
        <is>
          <t>flood</t>
        </is>
      </c>
      <c r="B79" s="5" t="n">
        <v>2022</v>
      </c>
      <c r="C79" s="5" t="n">
        <v>408</v>
      </c>
      <c r="D79" s="5" t="n">
        <v>408</v>
      </c>
      <c r="E79" s="7">
        <f>D79/C79</f>
        <v/>
      </c>
      <c r="F79" s="19" t="n">
        <v>8976.280000000001</v>
      </c>
      <c r="G79" s="19" t="n"/>
      <c r="H79" s="7" t="n"/>
    </row>
    <row r="80">
      <c r="A80" s="5" t="inlineStr">
        <is>
          <t>flood</t>
        </is>
      </c>
      <c r="B80" s="5" t="n">
        <v>2023</v>
      </c>
      <c r="C80" s="5" t="n">
        <v>448</v>
      </c>
      <c r="D80" s="5" t="n">
        <v>434</v>
      </c>
      <c r="E80" s="7">
        <f>D80/C80</f>
        <v/>
      </c>
      <c r="F80" s="19" t="n">
        <v>10362.03</v>
      </c>
      <c r="G80" s="19" t="n">
        <v>16972.7</v>
      </c>
      <c r="H80" s="7" t="n">
        <v>0.2956</v>
      </c>
    </row>
    <row r="81">
      <c r="A81" s="5" t="inlineStr">
        <is>
          <t>flood</t>
        </is>
      </c>
      <c r="B81" s="5" t="n">
        <v>2024</v>
      </c>
      <c r="C81" s="5" t="n">
        <v>361</v>
      </c>
      <c r="D81" s="5" t="n">
        <v>246</v>
      </c>
      <c r="E81" s="7">
        <f>D81/C81</f>
        <v/>
      </c>
      <c r="F81" s="19" t="n">
        <v>10776.16</v>
      </c>
      <c r="G81" s="19" t="n">
        <v>11253.43</v>
      </c>
      <c r="H81" s="7" t="n">
        <v>0.2346</v>
      </c>
    </row>
    <row r="82">
      <c r="A82" s="5" t="inlineStr">
        <is>
          <t>theft</t>
        </is>
      </c>
      <c r="B82" s="5" t="n">
        <v>2020</v>
      </c>
      <c r="C82" s="5" t="n">
        <v>11</v>
      </c>
      <c r="D82" s="5" t="n">
        <v>11</v>
      </c>
      <c r="E82" s="7">
        <f>D82/C82</f>
        <v/>
      </c>
      <c r="F82" s="19" t="n">
        <v>3591.79</v>
      </c>
      <c r="G82" s="19" t="n"/>
      <c r="H82" s="7" t="n"/>
    </row>
    <row r="83">
      <c r="A83" s="5" t="inlineStr">
        <is>
          <t>theft</t>
        </is>
      </c>
      <c r="B83" s="5" t="n">
        <v>2021</v>
      </c>
      <c r="C83" s="5" t="n">
        <v>1743</v>
      </c>
      <c r="D83" s="5" t="n">
        <v>1743</v>
      </c>
      <c r="E83" s="7">
        <f>D83/C83</f>
        <v/>
      </c>
      <c r="F83" s="19" t="n">
        <v>3492.23</v>
      </c>
      <c r="G83" s="19" t="n"/>
      <c r="H83" s="7" t="n"/>
    </row>
    <row r="84">
      <c r="A84" s="5" t="inlineStr">
        <is>
          <t>theft</t>
        </is>
      </c>
      <c r="B84" s="5" t="n">
        <v>2022</v>
      </c>
      <c r="C84" s="5" t="n">
        <v>1965</v>
      </c>
      <c r="D84" s="5" t="n">
        <v>1965</v>
      </c>
      <c r="E84" s="7">
        <f>D84/C84</f>
        <v/>
      </c>
      <c r="F84" s="19" t="n">
        <v>3473.45</v>
      </c>
      <c r="G84" s="19" t="n"/>
      <c r="H84" s="7" t="n"/>
    </row>
    <row r="85">
      <c r="A85" s="5" t="inlineStr">
        <is>
          <t>theft</t>
        </is>
      </c>
      <c r="B85" s="5" t="n">
        <v>2023</v>
      </c>
      <c r="C85" s="5" t="n">
        <v>1973</v>
      </c>
      <c r="D85" s="5" t="n">
        <v>1970</v>
      </c>
      <c r="E85" s="7">
        <f>D85/C85</f>
        <v/>
      </c>
      <c r="F85" s="19" t="n">
        <v>3631.35</v>
      </c>
      <c r="G85" s="19" t="n">
        <v>2851.9</v>
      </c>
      <c r="H85" s="7" t="n">
        <v>0.417</v>
      </c>
    </row>
    <row r="86">
      <c r="A86" s="5" t="inlineStr">
        <is>
          <t>theft</t>
        </is>
      </c>
      <c r="B86" s="5" t="n">
        <v>2024</v>
      </c>
      <c r="C86" s="5" t="n">
        <v>1976</v>
      </c>
      <c r="D86" s="5" t="n">
        <v>1723</v>
      </c>
      <c r="E86" s="7">
        <f>D86/C86</f>
        <v/>
      </c>
      <c r="F86" s="19" t="n">
        <v>3947.49</v>
      </c>
      <c r="G86" s="19" t="n">
        <v>4174.25</v>
      </c>
      <c r="H86" s="7" t="n">
        <v>0.2357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3" customWidth="1" min="3" max="3"/>
    <col width="28" customWidth="1" min="4" max="4"/>
    <col width="12" customWidth="1" min="5" max="5"/>
    <col width="10" customWidth="1" min="6" max="6"/>
  </cols>
  <sheetData>
    <row r="1">
      <c r="A1" s="1" t="inlineStr">
        <is>
          <t>Emerging Market — Reported Claim Count Triangle (Cumulative)</t>
        </is>
      </c>
    </row>
    <row r="2">
      <c r="A2" s="3" t="inlineStr">
        <is>
          <t>Only 2 years (2023-2024). Link ratios from 2023 row only.</t>
        </is>
      </c>
    </row>
    <row r="3"/>
    <row r="4">
      <c r="A4" s="2" t="inlineStr">
        <is>
          <t>MOTOR — Cumulative Reported Counts</t>
        </is>
      </c>
    </row>
    <row r="5">
      <c r="A5" s="4" t="inlineStr">
        <is>
          <t>Accident Year</t>
        </is>
      </c>
      <c r="B5" s="4" t="inlineStr">
        <is>
          <t>Lag 0</t>
        </is>
      </c>
      <c r="C5" s="4" t="inlineStr">
        <is>
          <t>Lag 1</t>
        </is>
      </c>
      <c r="D5" s="4" t="inlineStr">
        <is>
          <t>Link Ratio (0→1)</t>
        </is>
      </c>
    </row>
    <row r="6">
      <c r="A6" s="5" t="n">
        <v>2023</v>
      </c>
      <c r="B6" s="5" t="n">
        <v>3323</v>
      </c>
      <c r="C6" s="5" t="n">
        <v>3559</v>
      </c>
      <c r="D6" s="9">
        <f>C6/B6</f>
        <v/>
      </c>
    </row>
    <row r="7">
      <c r="A7" s="5" t="n">
        <v>2024</v>
      </c>
      <c r="B7" s="5" t="n">
        <v>3491</v>
      </c>
      <c r="C7" s="5" t="n">
        <v>3491</v>
      </c>
      <c r="D7" s="9">
        <f>C7/B7</f>
        <v/>
      </c>
    </row>
    <row r="8">
      <c r="A8" s="10" t="inlineStr">
        <is>
          <t>Weighted Avg</t>
        </is>
      </c>
      <c r="B8" s="10" t="n"/>
      <c r="C8" s="10" t="n"/>
      <c r="D8" s="13">
        <f>SUM(C6:C7)/SUM(B6:B7)</f>
        <v/>
      </c>
    </row>
    <row r="9"/>
    <row r="10">
      <c r="A10" s="2" t="inlineStr">
        <is>
          <t>BUILDINGS — Cumulative Reported Counts</t>
        </is>
      </c>
    </row>
    <row r="11">
      <c r="A11" s="4" t="inlineStr">
        <is>
          <t>Accident Year</t>
        </is>
      </c>
      <c r="B11" s="4" t="inlineStr">
        <is>
          <t>Lag 0</t>
        </is>
      </c>
      <c r="C11" s="4" t="inlineStr">
        <is>
          <t>Lag 1</t>
        </is>
      </c>
      <c r="D11" s="4" t="inlineStr">
        <is>
          <t>Link Ratio (0→1)</t>
        </is>
      </c>
    </row>
    <row r="12">
      <c r="A12" s="5" t="n">
        <v>2023</v>
      </c>
      <c r="B12" s="5" t="n">
        <v>479</v>
      </c>
      <c r="C12" s="5" t="n">
        <v>519</v>
      </c>
      <c r="D12" s="9">
        <f>C12/B12</f>
        <v/>
      </c>
    </row>
    <row r="13">
      <c r="A13" s="5" t="n">
        <v>2024</v>
      </c>
      <c r="B13" s="5" t="n">
        <v>537</v>
      </c>
      <c r="C13" s="5" t="n">
        <v>537</v>
      </c>
      <c r="D13" s="9">
        <f>C13/B13</f>
        <v/>
      </c>
    </row>
    <row r="14">
      <c r="A14" s="10" t="inlineStr">
        <is>
          <t>Weighted Avg</t>
        </is>
      </c>
      <c r="B14" s="10" t="n"/>
      <c r="C14" s="10" t="n"/>
      <c r="D14" s="13">
        <f>SUM(C12:C13)/SUM(B12:B13)</f>
        <v/>
      </c>
    </row>
    <row r="15"/>
    <row r="16">
      <c r="A16" s="2" t="inlineStr">
        <is>
          <t>CONTENTS — Cumulative Reported Counts</t>
        </is>
      </c>
    </row>
    <row r="17">
      <c r="A17" s="4" t="inlineStr">
        <is>
          <t>Accident Year</t>
        </is>
      </c>
      <c r="B17" s="4" t="inlineStr">
        <is>
          <t>Lag 0</t>
        </is>
      </c>
      <c r="C17" s="4" t="inlineStr">
        <is>
          <t>Lag 1</t>
        </is>
      </c>
      <c r="D17" s="4" t="inlineStr">
        <is>
          <t>Link Ratio (0→1)</t>
        </is>
      </c>
    </row>
    <row r="18">
      <c r="A18" s="5" t="n">
        <v>2023</v>
      </c>
      <c r="B18" s="5" t="n">
        <v>470</v>
      </c>
      <c r="C18" s="5" t="n">
        <v>491</v>
      </c>
      <c r="D18" s="9">
        <f>C18/B18</f>
        <v/>
      </c>
    </row>
    <row r="19">
      <c r="A19" s="5" t="n">
        <v>2024</v>
      </c>
      <c r="B19" s="5" t="n">
        <v>507</v>
      </c>
      <c r="C19" s="5" t="n">
        <v>507</v>
      </c>
      <c r="D19" s="9">
        <f>C19/B19</f>
        <v/>
      </c>
    </row>
    <row r="20">
      <c r="A20" s="10" t="inlineStr">
        <is>
          <t>Weighted Avg</t>
        </is>
      </c>
      <c r="B20" s="10" t="n"/>
      <c r="C20" s="10" t="n"/>
      <c r="D20" s="13">
        <f>SUM(C18:C19)/SUM(B18:B19)</f>
        <v/>
      </c>
    </row>
    <row r="21"/>
    <row r="22">
      <c r="A22" s="2" t="inlineStr">
        <is>
          <t>Per-Peril Count Link Ratios (Emerging)</t>
        </is>
      </c>
    </row>
    <row r="23">
      <c r="A23" s="4" t="inlineStr">
        <is>
          <t>Line</t>
        </is>
      </c>
      <c r="B23" s="4" t="inlineStr">
        <is>
          <t>Peril</t>
        </is>
      </c>
      <c r="C23" s="4" t="inlineStr">
        <is>
          <t>Count Lag 0</t>
        </is>
      </c>
      <c r="D23" s="4" t="inlineStr">
        <is>
          <t>Count Lag 1</t>
        </is>
      </c>
      <c r="E23" s="4" t="inlineStr">
        <is>
          <t>Link Ratio</t>
        </is>
      </c>
      <c r="F23" s="4" t="inlineStr">
        <is>
          <t>IBNR %</t>
        </is>
      </c>
    </row>
    <row r="24">
      <c r="A24" s="5" t="inlineStr">
        <is>
          <t>buildings</t>
        </is>
      </c>
      <c r="B24" s="5" t="inlineStr">
        <is>
          <t>escape_of_water</t>
        </is>
      </c>
      <c r="C24" s="5" t="n">
        <v>256</v>
      </c>
      <c r="D24" s="5" t="n">
        <v>268</v>
      </c>
      <c r="E24" s="9">
        <f>D24/C24</f>
        <v/>
      </c>
      <c r="F24" s="14">
        <f>(E24-1)</f>
        <v/>
      </c>
    </row>
    <row r="25">
      <c r="A25" s="5" t="inlineStr">
        <is>
          <t>buildings</t>
        </is>
      </c>
      <c r="B25" s="5" t="inlineStr">
        <is>
          <t>fire</t>
        </is>
      </c>
      <c r="C25" s="5" t="n">
        <v>69</v>
      </c>
      <c r="D25" s="5" t="n">
        <v>70</v>
      </c>
      <c r="E25" s="9">
        <f>D25/C25</f>
        <v/>
      </c>
      <c r="F25" s="14">
        <f>(E25-1)</f>
        <v/>
      </c>
    </row>
    <row r="26">
      <c r="A26" s="5" t="inlineStr">
        <is>
          <t>buildings</t>
        </is>
      </c>
      <c r="B26" s="5" t="inlineStr">
        <is>
          <t>storm</t>
        </is>
      </c>
      <c r="C26" s="5" t="n">
        <v>447</v>
      </c>
      <c r="D26" s="5" t="n">
        <v>464</v>
      </c>
      <c r="E26" s="9">
        <f>D26/C26</f>
        <v/>
      </c>
      <c r="F26" s="14">
        <f>(E26-1)</f>
        <v/>
      </c>
    </row>
    <row r="27">
      <c r="A27" s="15" t="inlineStr">
        <is>
          <t>buildings</t>
        </is>
      </c>
      <c r="B27" s="15" t="inlineStr">
        <is>
          <t>subsidence</t>
        </is>
      </c>
      <c r="C27" s="15" t="n">
        <v>42</v>
      </c>
      <c r="D27" s="15" t="n">
        <v>52</v>
      </c>
      <c r="E27" s="16">
        <f>D27/C27</f>
        <v/>
      </c>
      <c r="F27" s="17">
        <f>(E27-1)</f>
        <v/>
      </c>
    </row>
    <row r="28">
      <c r="A28" s="5" t="inlineStr">
        <is>
          <t>contents</t>
        </is>
      </c>
      <c r="B28" s="5" t="inlineStr">
        <is>
          <t>accidental_damage</t>
        </is>
      </c>
      <c r="C28" s="5" t="n">
        <v>330</v>
      </c>
      <c r="D28" s="5" t="n">
        <v>335</v>
      </c>
      <c r="E28" s="9">
        <f>D28/C28</f>
        <v/>
      </c>
      <c r="F28" s="14">
        <f>(E28-1)</f>
        <v/>
      </c>
    </row>
    <row r="29">
      <c r="A29" s="5" t="inlineStr">
        <is>
          <t>contents</t>
        </is>
      </c>
      <c r="B29" s="5" t="inlineStr">
        <is>
          <t>escape_of_water</t>
        </is>
      </c>
      <c r="C29" s="5" t="n">
        <v>162</v>
      </c>
      <c r="D29" s="5" t="n">
        <v>171</v>
      </c>
      <c r="E29" s="9">
        <f>D29/C29</f>
        <v/>
      </c>
      <c r="F29" s="14">
        <f>(E29-1)</f>
        <v/>
      </c>
    </row>
    <row r="30">
      <c r="A30" s="5" t="inlineStr">
        <is>
          <t>contents</t>
        </is>
      </c>
      <c r="B30" s="5" t="inlineStr">
        <is>
          <t>flood</t>
        </is>
      </c>
      <c r="C30" s="5" t="n">
        <v>85</v>
      </c>
      <c r="D30" s="5" t="n">
        <v>86</v>
      </c>
      <c r="E30" s="9">
        <f>D30/C30</f>
        <v/>
      </c>
      <c r="F30" s="14">
        <f>(E30-1)</f>
        <v/>
      </c>
    </row>
    <row r="31">
      <c r="A31" s="5" t="inlineStr">
        <is>
          <t>contents</t>
        </is>
      </c>
      <c r="B31" s="5" t="inlineStr">
        <is>
          <t>theft</t>
        </is>
      </c>
      <c r="C31" s="5" t="n">
        <v>400</v>
      </c>
      <c r="D31" s="5" t="n">
        <v>406</v>
      </c>
      <c r="E31" s="9">
        <f>D31/C31</f>
        <v/>
      </c>
      <c r="F31" s="14">
        <f>(E31-1)</f>
        <v/>
      </c>
    </row>
    <row r="32">
      <c r="A32" s="15" t="inlineStr">
        <is>
          <t>motor</t>
        </is>
      </c>
      <c r="B32" s="15" t="inlineStr">
        <is>
          <t>bodily_injury</t>
        </is>
      </c>
      <c r="C32" s="15" t="n">
        <v>344</v>
      </c>
      <c r="D32" s="15" t="n">
        <v>449</v>
      </c>
      <c r="E32" s="16">
        <f>D32/C32</f>
        <v/>
      </c>
      <c r="F32" s="17">
        <f>(E32-1)</f>
        <v/>
      </c>
    </row>
    <row r="33">
      <c r="A33" s="5" t="inlineStr">
        <is>
          <t>motor</t>
        </is>
      </c>
      <c r="B33" s="5" t="inlineStr">
        <is>
          <t>glass_hail</t>
        </is>
      </c>
      <c r="C33" s="5" t="n">
        <v>1330</v>
      </c>
      <c r="D33" s="5" t="n">
        <v>1345</v>
      </c>
      <c r="E33" s="9">
        <f>D33/C33</f>
        <v/>
      </c>
      <c r="F33" s="14">
        <f>(E33-1)</f>
        <v/>
      </c>
    </row>
    <row r="34">
      <c r="A34" s="5" t="inlineStr">
        <is>
          <t>motor</t>
        </is>
      </c>
      <c r="B34" s="5" t="inlineStr">
        <is>
          <t>own_damage</t>
        </is>
      </c>
      <c r="C34" s="5" t="n">
        <v>2621</v>
      </c>
      <c r="D34" s="5" t="n">
        <v>2673</v>
      </c>
      <c r="E34" s="9">
        <f>D34/C34</f>
        <v/>
      </c>
      <c r="F34" s="14">
        <f>(E34-1)</f>
        <v/>
      </c>
    </row>
    <row r="35">
      <c r="A35" s="5" t="inlineStr">
        <is>
          <t>motor</t>
        </is>
      </c>
      <c r="B35" s="5" t="inlineStr">
        <is>
          <t>theft</t>
        </is>
      </c>
      <c r="C35" s="5" t="n">
        <v>386</v>
      </c>
      <c r="D35" s="5" t="n">
        <v>389</v>
      </c>
      <c r="E35" s="9">
        <f>D35/C35</f>
        <v/>
      </c>
      <c r="F35" s="14">
        <f>(E35-1)</f>
        <v/>
      </c>
    </row>
    <row r="36">
      <c r="A36" s="5" t="inlineStr">
        <is>
          <t>motor</t>
        </is>
      </c>
      <c r="B36" s="5" t="inlineStr">
        <is>
          <t>third_party_prop</t>
        </is>
      </c>
      <c r="C36" s="5" t="n">
        <v>2133</v>
      </c>
      <c r="D36" s="5" t="n">
        <v>2194</v>
      </c>
      <c r="E36" s="9">
        <f>D36/C36</f>
        <v/>
      </c>
      <c r="F36" s="14">
        <f>(E36-1)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9" customWidth="1" min="9" max="9"/>
  </cols>
  <sheetData>
    <row r="1">
      <c r="A1" s="1" t="inlineStr">
        <is>
          <t>Emerging Market — Open/Closed Snapshot (CAVEAT: Selection Bias)</t>
        </is>
      </c>
    </row>
    <row r="2">
      <c r="A2" s="18" t="inlineStr">
        <is>
          <t>WARNING: Open claims are 1.3-2.8x MORE expensive than closed. This is selection bias,</t>
        </is>
      </c>
    </row>
    <row r="3">
      <c r="A3" s="18" t="inlineStr">
        <is>
          <t>NOT a development signal. Small claims close quickly; large/complex claims stay open.</t>
        </is>
      </c>
    </row>
    <row r="4">
      <c r="A4" s="18" t="inlineStr">
        <is>
          <t>Do NOT use open/closed averages to derive development factors.</t>
        </is>
      </c>
    </row>
    <row r="5"/>
    <row r="6">
      <c r="A6" s="2" t="inlineStr">
        <is>
          <t>MOTOR</t>
        </is>
      </c>
    </row>
    <row r="7">
      <c r="A7" s="4" t="inlineStr">
        <is>
          <t>Peril</t>
        </is>
      </c>
      <c r="B7" s="4" t="inlineStr">
        <is>
          <t>Loss Year</t>
        </is>
      </c>
      <c r="C7" s="4" t="inlineStr">
        <is>
          <t>Total</t>
        </is>
      </c>
      <c r="D7" s="4" t="inlineStr">
        <is>
          <t>Closed</t>
        </is>
      </c>
      <c r="E7" s="4" t="inlineStr">
        <is>
          <t>Open</t>
        </is>
      </c>
      <c r="F7" s="4" t="inlineStr">
        <is>
          <t>% Closed</t>
        </is>
      </c>
      <c r="G7" s="4" t="inlineStr">
        <is>
          <t>Closed Avg</t>
        </is>
      </c>
      <c r="H7" s="4" t="inlineStr">
        <is>
          <t>Open Avg</t>
        </is>
      </c>
      <c r="I7" s="4" t="inlineStr">
        <is>
          <t>Open/Closed Ratio</t>
        </is>
      </c>
    </row>
    <row r="8">
      <c r="A8" s="5" t="inlineStr">
        <is>
          <t>bodily_injury</t>
        </is>
      </c>
      <c r="B8" s="5" t="n">
        <v>2023</v>
      </c>
      <c r="C8" s="5" t="n">
        <v>266</v>
      </c>
      <c r="D8" s="5" t="n">
        <v>141</v>
      </c>
      <c r="E8" s="5" t="n">
        <v>125</v>
      </c>
      <c r="F8" s="7">
        <f>D8/C8</f>
        <v/>
      </c>
      <c r="G8" s="19" t="n">
        <v>9618.040000000001</v>
      </c>
      <c r="H8" s="19" t="n">
        <v>11475.63</v>
      </c>
      <c r="I8" s="21">
        <f>H8/G8</f>
        <v/>
      </c>
    </row>
    <row r="9">
      <c r="A9" s="5" t="inlineStr">
        <is>
          <t>bodily_injury</t>
        </is>
      </c>
      <c r="B9" s="5" t="n">
        <v>2024</v>
      </c>
      <c r="C9" s="5" t="n">
        <v>183</v>
      </c>
      <c r="D9" s="5" t="n">
        <v>48</v>
      </c>
      <c r="E9" s="5" t="n">
        <v>135</v>
      </c>
      <c r="F9" s="7">
        <f>D9/C9</f>
        <v/>
      </c>
      <c r="G9" s="19" t="n">
        <v>9354.209999999999</v>
      </c>
      <c r="H9" s="19" t="n">
        <v>11598.22</v>
      </c>
      <c r="I9" s="21">
        <f>H9/G9</f>
        <v/>
      </c>
    </row>
    <row r="10">
      <c r="A10" s="5" t="inlineStr">
        <is>
          <t>glass_hail</t>
        </is>
      </c>
      <c r="B10" s="5" t="n">
        <v>2023</v>
      </c>
      <c r="C10" s="5" t="n">
        <v>601</v>
      </c>
      <c r="D10" s="5" t="n">
        <v>600</v>
      </c>
      <c r="E10" s="5" t="n">
        <v>1</v>
      </c>
      <c r="F10" s="7">
        <f>D10/C10</f>
        <v/>
      </c>
      <c r="G10" s="19" t="n">
        <v>717.0599999999999</v>
      </c>
      <c r="H10" s="19" t="n">
        <v>437.39</v>
      </c>
      <c r="I10" s="21">
        <f>H10/G10</f>
        <v/>
      </c>
    </row>
    <row r="11">
      <c r="A11" s="5" t="inlineStr">
        <is>
          <t>glass_hail</t>
        </is>
      </c>
      <c r="B11" s="5" t="n">
        <v>2024</v>
      </c>
      <c r="C11" s="5" t="n">
        <v>744</v>
      </c>
      <c r="D11" s="5" t="n">
        <v>697</v>
      </c>
      <c r="E11" s="5" t="n">
        <v>47</v>
      </c>
      <c r="F11" s="7">
        <f>D11/C11</f>
        <v/>
      </c>
      <c r="G11" s="19" t="n">
        <v>795.45</v>
      </c>
      <c r="H11" s="19" t="n">
        <v>821.9</v>
      </c>
      <c r="I11" s="21">
        <f>H11/G11</f>
        <v/>
      </c>
    </row>
    <row r="12">
      <c r="A12" s="5" t="inlineStr">
        <is>
          <t>own_damage</t>
        </is>
      </c>
      <c r="B12" s="5" t="n">
        <v>2023</v>
      </c>
      <c r="C12" s="5" t="n">
        <v>1378</v>
      </c>
      <c r="D12" s="5" t="n">
        <v>1377</v>
      </c>
      <c r="E12" s="5" t="n">
        <v>1</v>
      </c>
      <c r="F12" s="7">
        <f>D12/C12</f>
        <v/>
      </c>
      <c r="G12" s="19" t="n">
        <v>1084.9</v>
      </c>
      <c r="H12" s="19" t="n">
        <v>752.4</v>
      </c>
      <c r="I12" s="21">
        <f>H12/G12</f>
        <v/>
      </c>
    </row>
    <row r="13">
      <c r="A13" s="5" t="inlineStr">
        <is>
          <t>own_damage</t>
        </is>
      </c>
      <c r="B13" s="5" t="n">
        <v>2024</v>
      </c>
      <c r="C13" s="5" t="n">
        <v>1295</v>
      </c>
      <c r="D13" s="5" t="n">
        <v>1072</v>
      </c>
      <c r="E13" s="5" t="n">
        <v>223</v>
      </c>
      <c r="F13" s="7">
        <f>D13/C13</f>
        <v/>
      </c>
      <c r="G13" s="19" t="n">
        <v>1095.87</v>
      </c>
      <c r="H13" s="19" t="n">
        <v>1681.82</v>
      </c>
      <c r="I13" s="21">
        <f>H13/G13</f>
        <v/>
      </c>
    </row>
    <row r="14">
      <c r="A14" s="5" t="inlineStr">
        <is>
          <t>theft</t>
        </is>
      </c>
      <c r="B14" s="5" t="n">
        <v>2023</v>
      </c>
      <c r="C14" s="5" t="n">
        <v>194</v>
      </c>
      <c r="D14" s="5" t="n">
        <v>194</v>
      </c>
      <c r="E14" s="5" t="n">
        <v>0</v>
      </c>
      <c r="F14" s="7">
        <f>D14/C14</f>
        <v/>
      </c>
      <c r="G14" s="19" t="n">
        <v>3758.68</v>
      </c>
      <c r="H14" s="19" t="n"/>
      <c r="I14" s="5" t="n"/>
    </row>
    <row r="15">
      <c r="A15" s="5" t="inlineStr">
        <is>
          <t>theft</t>
        </is>
      </c>
      <c r="B15" s="5" t="n">
        <v>2024</v>
      </c>
      <c r="C15" s="5" t="n">
        <v>195</v>
      </c>
      <c r="D15" s="5" t="n">
        <v>162</v>
      </c>
      <c r="E15" s="5" t="n">
        <v>33</v>
      </c>
      <c r="F15" s="7">
        <f>D15/C15</f>
        <v/>
      </c>
      <c r="G15" s="19" t="n">
        <v>4291.28</v>
      </c>
      <c r="H15" s="19" t="n">
        <v>5571.97</v>
      </c>
      <c r="I15" s="21">
        <f>H15/G15</f>
        <v/>
      </c>
    </row>
    <row r="16">
      <c r="A16" s="5" t="inlineStr">
        <is>
          <t>third_party_prop</t>
        </is>
      </c>
      <c r="B16" s="5" t="n">
        <v>2023</v>
      </c>
      <c r="C16" s="5" t="n">
        <v>1120</v>
      </c>
      <c r="D16" s="5" t="n">
        <v>1116</v>
      </c>
      <c r="E16" s="5" t="n">
        <v>4</v>
      </c>
      <c r="F16" s="7">
        <f>D16/C16</f>
        <v/>
      </c>
      <c r="G16" s="19" t="n">
        <v>2421.91</v>
      </c>
      <c r="H16" s="19" t="n">
        <v>4286.95</v>
      </c>
      <c r="I16" s="21">
        <f>H16/G16</f>
        <v/>
      </c>
    </row>
    <row r="17">
      <c r="A17" s="5" t="inlineStr">
        <is>
          <t>third_party_prop</t>
        </is>
      </c>
      <c r="B17" s="5" t="n">
        <v>2024</v>
      </c>
      <c r="C17" s="5" t="n">
        <v>1074</v>
      </c>
      <c r="D17" s="5" t="n">
        <v>803</v>
      </c>
      <c r="E17" s="5" t="n">
        <v>271</v>
      </c>
      <c r="F17" s="7">
        <f>D17/C17</f>
        <v/>
      </c>
      <c r="G17" s="19" t="n">
        <v>2392.95</v>
      </c>
      <c r="H17" s="19" t="n">
        <v>2711.76</v>
      </c>
      <c r="I17" s="21">
        <f>H17/G17</f>
        <v/>
      </c>
    </row>
    <row r="18"/>
    <row r="19">
      <c r="A19" s="2" t="inlineStr">
        <is>
          <t>BUILDINGS</t>
        </is>
      </c>
    </row>
    <row r="20">
      <c r="A20" s="4" t="inlineStr">
        <is>
          <t>Peril</t>
        </is>
      </c>
      <c r="B20" s="4" t="inlineStr">
        <is>
          <t>Loss Year</t>
        </is>
      </c>
      <c r="C20" s="4" t="inlineStr">
        <is>
          <t>Total</t>
        </is>
      </c>
      <c r="D20" s="4" t="inlineStr">
        <is>
          <t>Closed</t>
        </is>
      </c>
      <c r="E20" s="4" t="inlineStr">
        <is>
          <t>Open</t>
        </is>
      </c>
      <c r="F20" s="4" t="inlineStr">
        <is>
          <t>% Closed</t>
        </is>
      </c>
      <c r="G20" s="4" t="inlineStr">
        <is>
          <t>Closed Avg</t>
        </is>
      </c>
      <c r="H20" s="4" t="inlineStr">
        <is>
          <t>Open Avg</t>
        </is>
      </c>
      <c r="I20" s="4" t="inlineStr">
        <is>
          <t>Open/Closed Ratio</t>
        </is>
      </c>
    </row>
    <row r="21">
      <c r="A21" s="5" t="inlineStr">
        <is>
          <t>accidental_damage</t>
        </is>
      </c>
      <c r="B21" s="5" t="n">
        <v>2023</v>
      </c>
      <c r="C21" s="5" t="n">
        <v>55</v>
      </c>
      <c r="D21" s="5" t="n">
        <v>55</v>
      </c>
      <c r="E21" s="5" t="n">
        <v>0</v>
      </c>
      <c r="F21" s="7">
        <f>D21/C21</f>
        <v/>
      </c>
      <c r="G21" s="19" t="n">
        <v>847.71</v>
      </c>
      <c r="H21" s="19" t="n"/>
      <c r="I21" s="5" t="n"/>
    </row>
    <row r="22">
      <c r="A22" s="5" t="inlineStr">
        <is>
          <t>accidental_damage</t>
        </is>
      </c>
      <c r="B22" s="5" t="n">
        <v>2024</v>
      </c>
      <c r="C22" s="5" t="n">
        <v>67</v>
      </c>
      <c r="D22" s="5" t="n">
        <v>65</v>
      </c>
      <c r="E22" s="5" t="n">
        <v>2</v>
      </c>
      <c r="F22" s="7">
        <f>D22/C22</f>
        <v/>
      </c>
      <c r="G22" s="19" t="n">
        <v>957.08</v>
      </c>
      <c r="H22" s="19" t="n">
        <v>429.74</v>
      </c>
      <c r="I22" s="21">
        <f>H22/G22</f>
        <v/>
      </c>
    </row>
    <row r="23">
      <c r="A23" s="5" t="inlineStr">
        <is>
          <t>escape_of_water</t>
        </is>
      </c>
      <c r="B23" s="5" t="n">
        <v>2023</v>
      </c>
      <c r="C23" s="5" t="n">
        <v>131</v>
      </c>
      <c r="D23" s="5" t="n">
        <v>129</v>
      </c>
      <c r="E23" s="5" t="n">
        <v>2</v>
      </c>
      <c r="F23" s="7">
        <f>D23/C23</f>
        <v/>
      </c>
      <c r="G23" s="19" t="n">
        <v>3895.89</v>
      </c>
      <c r="H23" s="19" t="n">
        <v>1634.74</v>
      </c>
      <c r="I23" s="21">
        <f>H23/G23</f>
        <v/>
      </c>
    </row>
    <row r="24">
      <c r="A24" s="5" t="inlineStr">
        <is>
          <t>escape_of_water</t>
        </is>
      </c>
      <c r="B24" s="5" t="n">
        <v>2024</v>
      </c>
      <c r="C24" s="5" t="n">
        <v>137</v>
      </c>
      <c r="D24" s="5" t="n">
        <v>101</v>
      </c>
      <c r="E24" s="5" t="n">
        <v>36</v>
      </c>
      <c r="F24" s="7">
        <f>D24/C24</f>
        <v/>
      </c>
      <c r="G24" s="19" t="n">
        <v>3490.4</v>
      </c>
      <c r="H24" s="19" t="n">
        <v>5018.66</v>
      </c>
      <c r="I24" s="21">
        <f>H24/G24</f>
        <v/>
      </c>
    </row>
    <row r="25">
      <c r="A25" s="5" t="inlineStr">
        <is>
          <t>fire</t>
        </is>
      </c>
      <c r="B25" s="5" t="n">
        <v>2023</v>
      </c>
      <c r="C25" s="5" t="n">
        <v>49</v>
      </c>
      <c r="D25" s="5" t="n">
        <v>46</v>
      </c>
      <c r="E25" s="5" t="n">
        <v>3</v>
      </c>
      <c r="F25" s="7">
        <f>D25/C25</f>
        <v/>
      </c>
      <c r="G25" s="19" t="n">
        <v>66598.25999999999</v>
      </c>
      <c r="H25" s="19" t="n">
        <v>53192</v>
      </c>
      <c r="I25" s="21">
        <f>H25/G25</f>
        <v/>
      </c>
    </row>
    <row r="26">
      <c r="A26" s="5" t="inlineStr">
        <is>
          <t>fire</t>
        </is>
      </c>
      <c r="B26" s="5" t="n">
        <v>2024</v>
      </c>
      <c r="C26" s="5" t="n">
        <v>21</v>
      </c>
      <c r="D26" s="5" t="n">
        <v>14</v>
      </c>
      <c r="E26" s="5" t="n">
        <v>7</v>
      </c>
      <c r="F26" s="7">
        <f>D26/C26</f>
        <v/>
      </c>
      <c r="G26" s="19" t="n">
        <v>67728.62</v>
      </c>
      <c r="H26" s="19" t="n">
        <v>25297.58</v>
      </c>
      <c r="I26" s="21">
        <f>H26/G26</f>
        <v/>
      </c>
    </row>
    <row r="27">
      <c r="A27" s="5" t="inlineStr">
        <is>
          <t>flood</t>
        </is>
      </c>
      <c r="B27" s="5" t="n">
        <v>2023</v>
      </c>
      <c r="C27" s="5" t="n">
        <v>42</v>
      </c>
      <c r="D27" s="5" t="n">
        <v>39</v>
      </c>
      <c r="E27" s="5" t="n">
        <v>3</v>
      </c>
      <c r="F27" s="7">
        <f>D27/C27</f>
        <v/>
      </c>
      <c r="G27" s="19" t="n">
        <v>24589.32</v>
      </c>
      <c r="H27" s="19" t="n">
        <v>27571.75</v>
      </c>
      <c r="I27" s="21">
        <f>H27/G27</f>
        <v/>
      </c>
    </row>
    <row r="28">
      <c r="A28" s="5" t="inlineStr">
        <is>
          <t>flood</t>
        </is>
      </c>
      <c r="B28" s="5" t="n">
        <v>2024</v>
      </c>
      <c r="C28" s="5" t="n">
        <v>38</v>
      </c>
      <c r="D28" s="5" t="n">
        <v>20</v>
      </c>
      <c r="E28" s="5" t="n">
        <v>18</v>
      </c>
      <c r="F28" s="7">
        <f>D28/C28</f>
        <v/>
      </c>
      <c r="G28" s="19" t="n">
        <v>22932.75</v>
      </c>
      <c r="H28" s="19" t="n">
        <v>34497.71</v>
      </c>
      <c r="I28" s="21">
        <f>H28/G28</f>
        <v/>
      </c>
    </row>
    <row r="29">
      <c r="A29" s="5" t="inlineStr">
        <is>
          <t>storm</t>
        </is>
      </c>
      <c r="B29" s="5" t="n">
        <v>2023</v>
      </c>
      <c r="C29" s="5" t="n">
        <v>210</v>
      </c>
      <c r="D29" s="5" t="n">
        <v>210</v>
      </c>
      <c r="E29" s="5" t="n">
        <v>0</v>
      </c>
      <c r="F29" s="7">
        <f>D29/C29</f>
        <v/>
      </c>
      <c r="G29" s="19" t="n">
        <v>2457.54</v>
      </c>
      <c r="H29" s="19" t="n"/>
      <c r="I29" s="5" t="n"/>
    </row>
    <row r="30">
      <c r="A30" s="5" t="inlineStr">
        <is>
          <t>storm</t>
        </is>
      </c>
      <c r="B30" s="5" t="n">
        <v>2024</v>
      </c>
      <c r="C30" s="5" t="n">
        <v>254</v>
      </c>
      <c r="D30" s="5" t="n">
        <v>196</v>
      </c>
      <c r="E30" s="5" t="n">
        <v>58</v>
      </c>
      <c r="F30" s="7">
        <f>D30/C30</f>
        <v/>
      </c>
      <c r="G30" s="19" t="n">
        <v>2765.31</v>
      </c>
      <c r="H30" s="19" t="n">
        <v>2612.57</v>
      </c>
      <c r="I30" s="21">
        <f>H30/G30</f>
        <v/>
      </c>
    </row>
    <row r="31">
      <c r="A31" s="5" t="inlineStr">
        <is>
          <t>subsidence</t>
        </is>
      </c>
      <c r="B31" s="5" t="n">
        <v>2023</v>
      </c>
      <c r="C31" s="5" t="n">
        <v>32</v>
      </c>
      <c r="D31" s="5" t="n">
        <v>19</v>
      </c>
      <c r="E31" s="5" t="n">
        <v>13</v>
      </c>
      <c r="F31" s="7">
        <f>D31/C31</f>
        <v/>
      </c>
      <c r="G31" s="19" t="n">
        <v>16984.13</v>
      </c>
      <c r="H31" s="19" t="n">
        <v>14819.12</v>
      </c>
      <c r="I31" s="21">
        <f>H31/G31</f>
        <v/>
      </c>
    </row>
    <row r="32">
      <c r="A32" s="5" t="inlineStr">
        <is>
          <t>subsidence</t>
        </is>
      </c>
      <c r="B32" s="5" t="n">
        <v>2024</v>
      </c>
      <c r="C32" s="5" t="n">
        <v>20</v>
      </c>
      <c r="D32" s="5" t="n">
        <v>5</v>
      </c>
      <c r="E32" s="5" t="n">
        <v>15</v>
      </c>
      <c r="F32" s="7">
        <f>D32/C32</f>
        <v/>
      </c>
      <c r="G32" s="19" t="n">
        <v>11891.71</v>
      </c>
      <c r="H32" s="19" t="n">
        <v>10393.59</v>
      </c>
      <c r="I32" s="21">
        <f>H32/G32</f>
        <v/>
      </c>
    </row>
    <row r="33"/>
    <row r="34">
      <c r="A34" s="2" t="inlineStr">
        <is>
          <t>CONTENTS</t>
        </is>
      </c>
    </row>
    <row r="35">
      <c r="A35" s="4" t="inlineStr">
        <is>
          <t>Peril</t>
        </is>
      </c>
      <c r="B35" s="4" t="inlineStr">
        <is>
          <t>Loss Year</t>
        </is>
      </c>
      <c r="C35" s="4" t="inlineStr">
        <is>
          <t>Total</t>
        </is>
      </c>
      <c r="D35" s="4" t="inlineStr">
        <is>
          <t>Closed</t>
        </is>
      </c>
      <c r="E35" s="4" t="inlineStr">
        <is>
          <t>Open</t>
        </is>
      </c>
      <c r="F35" s="4" t="inlineStr">
        <is>
          <t>% Closed</t>
        </is>
      </c>
      <c r="G35" s="4" t="inlineStr">
        <is>
          <t>Closed Avg</t>
        </is>
      </c>
      <c r="H35" s="4" t="inlineStr">
        <is>
          <t>Open Avg</t>
        </is>
      </c>
      <c r="I35" s="4" t="inlineStr">
        <is>
          <t>Open/Closed Ratio</t>
        </is>
      </c>
    </row>
    <row r="36">
      <c r="A36" s="5" t="inlineStr">
        <is>
          <t>accidental_damage</t>
        </is>
      </c>
      <c r="B36" s="5" t="n">
        <v>2023</v>
      </c>
      <c r="C36" s="5" t="n">
        <v>166</v>
      </c>
      <c r="D36" s="5" t="n">
        <v>166</v>
      </c>
      <c r="E36" s="5" t="n">
        <v>0</v>
      </c>
      <c r="F36" s="7">
        <f>D36/C36</f>
        <v/>
      </c>
      <c r="G36" s="19" t="n">
        <v>651.8200000000001</v>
      </c>
      <c r="H36" s="19" t="n"/>
      <c r="I36" s="5" t="n"/>
    </row>
    <row r="37">
      <c r="A37" s="5" t="inlineStr">
        <is>
          <t>accidental_damage</t>
        </is>
      </c>
      <c r="B37" s="5" t="n">
        <v>2024</v>
      </c>
      <c r="C37" s="5" t="n">
        <v>169</v>
      </c>
      <c r="D37" s="5" t="n">
        <v>150</v>
      </c>
      <c r="E37" s="5" t="n">
        <v>19</v>
      </c>
      <c r="F37" s="7">
        <f>D37/C37</f>
        <v/>
      </c>
      <c r="G37" s="19" t="n">
        <v>611.21</v>
      </c>
      <c r="H37" s="19" t="n">
        <v>689.75</v>
      </c>
      <c r="I37" s="21">
        <f>H37/G37</f>
        <v/>
      </c>
    </row>
    <row r="38">
      <c r="A38" s="5" t="inlineStr">
        <is>
          <t>escape_of_water</t>
        </is>
      </c>
      <c r="B38" s="5" t="n">
        <v>2023</v>
      </c>
      <c r="C38" s="5" t="n">
        <v>86</v>
      </c>
      <c r="D38" s="5" t="n">
        <v>86</v>
      </c>
      <c r="E38" s="5" t="n">
        <v>0</v>
      </c>
      <c r="F38" s="7">
        <f>D38/C38</f>
        <v/>
      </c>
      <c r="G38" s="19" t="n">
        <v>2247.42</v>
      </c>
      <c r="H38" s="19" t="n"/>
      <c r="I38" s="5" t="n"/>
    </row>
    <row r="39">
      <c r="A39" s="5" t="inlineStr">
        <is>
          <t>escape_of_water</t>
        </is>
      </c>
      <c r="B39" s="5" t="n">
        <v>2024</v>
      </c>
      <c r="C39" s="5" t="n">
        <v>85</v>
      </c>
      <c r="D39" s="5" t="n">
        <v>80</v>
      </c>
      <c r="E39" s="5" t="n">
        <v>5</v>
      </c>
      <c r="F39" s="7">
        <f>D39/C39</f>
        <v/>
      </c>
      <c r="G39" s="19" t="n">
        <v>1970.53</v>
      </c>
      <c r="H39" s="19" t="n">
        <v>2394.13</v>
      </c>
      <c r="I39" s="21">
        <f>H39/G39</f>
        <v/>
      </c>
    </row>
    <row r="40">
      <c r="A40" s="5" t="inlineStr">
        <is>
          <t>flood</t>
        </is>
      </c>
      <c r="B40" s="5" t="n">
        <v>2023</v>
      </c>
      <c r="C40" s="5" t="n">
        <v>51</v>
      </c>
      <c r="D40" s="5" t="n">
        <v>51</v>
      </c>
      <c r="E40" s="5" t="n">
        <v>0</v>
      </c>
      <c r="F40" s="7">
        <f>D40/C40</f>
        <v/>
      </c>
      <c r="G40" s="19" t="n">
        <v>8474.629999999999</v>
      </c>
      <c r="H40" s="19" t="n"/>
      <c r="I40" s="5" t="n"/>
    </row>
    <row r="41">
      <c r="A41" s="5" t="inlineStr">
        <is>
          <t>flood</t>
        </is>
      </c>
      <c r="B41" s="5" t="n">
        <v>2024</v>
      </c>
      <c r="C41" s="5" t="n">
        <v>35</v>
      </c>
      <c r="D41" s="5" t="n">
        <v>26</v>
      </c>
      <c r="E41" s="5" t="n">
        <v>9</v>
      </c>
      <c r="F41" s="7">
        <f>D41/C41</f>
        <v/>
      </c>
      <c r="G41" s="19" t="n">
        <v>8243.98</v>
      </c>
      <c r="H41" s="19" t="n">
        <v>15780.03</v>
      </c>
      <c r="I41" s="21">
        <f>H41/G41</f>
        <v/>
      </c>
    </row>
    <row r="42">
      <c r="A42" s="5" t="inlineStr">
        <is>
          <t>theft</t>
        </is>
      </c>
      <c r="B42" s="5" t="n">
        <v>2023</v>
      </c>
      <c r="C42" s="5" t="n">
        <v>188</v>
      </c>
      <c r="D42" s="5" t="n">
        <v>188</v>
      </c>
      <c r="E42" s="5" t="n">
        <v>0</v>
      </c>
      <c r="F42" s="7">
        <f>D42/C42</f>
        <v/>
      </c>
      <c r="G42" s="19" t="n">
        <v>2936</v>
      </c>
      <c r="H42" s="19" t="n"/>
      <c r="I42" s="5" t="n"/>
    </row>
    <row r="43">
      <c r="A43" s="5" t="inlineStr">
        <is>
          <t>theft</t>
        </is>
      </c>
      <c r="B43" s="5" t="n">
        <v>2024</v>
      </c>
      <c r="C43" s="5" t="n">
        <v>218</v>
      </c>
      <c r="D43" s="5" t="n">
        <v>192</v>
      </c>
      <c r="E43" s="5" t="n">
        <v>26</v>
      </c>
      <c r="F43" s="7">
        <f>D43/C43</f>
        <v/>
      </c>
      <c r="G43" s="19" t="n">
        <v>3125.89</v>
      </c>
      <c r="H43" s="19" t="n">
        <v>2567.89</v>
      </c>
      <c r="I43" s="21">
        <f>H43/G43</f>
        <v/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2" customWidth="1" min="3" max="3"/>
    <col width="21" customWidth="1" min="4" max="4"/>
    <col width="12" customWidth="1" min="5" max="5"/>
    <col width="28" customWidth="1" min="6" max="6"/>
  </cols>
  <sheetData>
    <row r="1">
      <c r="A1" s="1" t="inlineStr">
        <is>
          <t>Comparison: Emerging vs Developed Market Count Link Ratios (Lag 0→1)</t>
        </is>
      </c>
    </row>
    <row r="2">
      <c r="A2" s="3" t="inlineStr">
        <is>
          <t>Emerging link ratios are slightly HIGHER (more IBNR) — consistent with less mature reporting.</t>
        </is>
      </c>
    </row>
    <row r="3"/>
    <row r="4">
      <c r="A4" s="4" t="inlineStr">
        <is>
          <t>Line</t>
        </is>
      </c>
      <c r="B4" s="4" t="inlineStr">
        <is>
          <t>Peril</t>
        </is>
      </c>
      <c r="C4" s="4" t="inlineStr">
        <is>
          <t>Developed Link Ratio</t>
        </is>
      </c>
      <c r="D4" s="4" t="inlineStr">
        <is>
          <t>Emerging Link Ratio</t>
        </is>
      </c>
      <c r="E4" s="4" t="inlineStr">
        <is>
          <t>Difference</t>
        </is>
      </c>
      <c r="F4" s="4" t="inlineStr">
        <is>
          <t>Notes</t>
        </is>
      </c>
    </row>
    <row r="5">
      <c r="A5" s="5" t="inlineStr">
        <is>
          <t>buildings</t>
        </is>
      </c>
      <c r="B5" s="5" t="inlineStr">
        <is>
          <t>accidental_damage</t>
        </is>
      </c>
      <c r="C5" s="9" t="n">
        <v>1.0254</v>
      </c>
      <c r="D5" s="9" t="n"/>
      <c r="E5" s="5" t="n"/>
      <c r="F5" s="5" t="inlineStr"/>
    </row>
    <row r="6">
      <c r="A6" s="5" t="inlineStr">
        <is>
          <t>buildings</t>
        </is>
      </c>
      <c r="B6" s="5" t="inlineStr">
        <is>
          <t>escape_of_water</t>
        </is>
      </c>
      <c r="C6" s="9" t="n">
        <v>1.0528</v>
      </c>
      <c r="D6" s="9" t="n">
        <v>1.0469</v>
      </c>
      <c r="E6" s="9">
        <f>D6-C6</f>
        <v/>
      </c>
      <c r="F6" s="5" t="inlineStr">
        <is>
          <t>Emerging has less IBNR (unexpected)</t>
        </is>
      </c>
    </row>
    <row r="7">
      <c r="A7" s="5" t="inlineStr">
        <is>
          <t>buildings</t>
        </is>
      </c>
      <c r="B7" s="5" t="inlineStr">
        <is>
          <t>fire</t>
        </is>
      </c>
      <c r="C7" s="9" t="n">
        <v>1.0155</v>
      </c>
      <c r="D7" s="9" t="n">
        <v>1.0145</v>
      </c>
      <c r="E7" s="9">
        <f>D7-C7</f>
        <v/>
      </c>
      <c r="F7" s="5" t="inlineStr">
        <is>
          <t>Emerging has less IBNR (unexpected)</t>
        </is>
      </c>
    </row>
    <row r="8">
      <c r="A8" s="5" t="inlineStr">
        <is>
          <t>buildings</t>
        </is>
      </c>
      <c r="B8" s="5" t="inlineStr">
        <is>
          <t>flood</t>
        </is>
      </c>
      <c r="C8" s="9" t="n">
        <v>1.0306</v>
      </c>
      <c r="D8" s="9" t="n"/>
      <c r="E8" s="5" t="n"/>
      <c r="F8" s="5" t="inlineStr"/>
    </row>
    <row r="9">
      <c r="A9" s="5" t="inlineStr">
        <is>
          <t>buildings</t>
        </is>
      </c>
      <c r="B9" s="5" t="inlineStr">
        <is>
          <t>storm</t>
        </is>
      </c>
      <c r="C9" s="9" t="n">
        <v>1.0431</v>
      </c>
      <c r="D9" s="9" t="n">
        <v>1.038</v>
      </c>
      <c r="E9" s="9">
        <f>D9-C9</f>
        <v/>
      </c>
      <c r="F9" s="5" t="inlineStr">
        <is>
          <t>Emerging has less IBNR (unexpected)</t>
        </is>
      </c>
    </row>
    <row r="10">
      <c r="A10" s="15" t="inlineStr">
        <is>
          <t>buildings</t>
        </is>
      </c>
      <c r="B10" s="15" t="inlineStr">
        <is>
          <t>subsidence</t>
        </is>
      </c>
      <c r="C10" s="16" t="n">
        <v>1.3156</v>
      </c>
      <c r="D10" s="16" t="n">
        <v>1.2381</v>
      </c>
      <c r="E10" s="16">
        <f>D10-C10</f>
        <v/>
      </c>
      <c r="F10" s="15" t="inlineStr">
        <is>
          <t>Long-tail: subsidence has high IBNR</t>
        </is>
      </c>
    </row>
    <row r="11">
      <c r="A11" s="5" t="inlineStr">
        <is>
          <t>contents</t>
        </is>
      </c>
      <c r="B11" s="5" t="inlineStr">
        <is>
          <t>accidental_damage</t>
        </is>
      </c>
      <c r="C11" s="9" t="n">
        <v>1.0264</v>
      </c>
      <c r="D11" s="9" t="n">
        <v>1.0152</v>
      </c>
      <c r="E11" s="9">
        <f>D11-C11</f>
        <v/>
      </c>
      <c r="F11" s="5" t="inlineStr">
        <is>
          <t>Emerging has less IBNR (unexpected)</t>
        </is>
      </c>
    </row>
    <row r="12">
      <c r="A12" s="5" t="inlineStr">
        <is>
          <t>contents</t>
        </is>
      </c>
      <c r="B12" s="5" t="inlineStr">
        <is>
          <t>escape_of_water</t>
        </is>
      </c>
      <c r="C12" s="9" t="n">
        <v>1.0542</v>
      </c>
      <c r="D12" s="9" t="n">
        <v>1.0556</v>
      </c>
      <c r="E12" s="9">
        <f>D12-C12</f>
        <v/>
      </c>
      <c r="F12" s="5" t="inlineStr">
        <is>
          <t>Emerging has more IBNR (less mature)</t>
        </is>
      </c>
    </row>
    <row r="13">
      <c r="A13" s="5" t="inlineStr">
        <is>
          <t>contents</t>
        </is>
      </c>
      <c r="B13" s="5" t="inlineStr">
        <is>
          <t>flood</t>
        </is>
      </c>
      <c r="C13" s="9" t="n">
        <v>1.0344</v>
      </c>
      <c r="D13" s="9" t="n">
        <v>1.0118</v>
      </c>
      <c r="E13" s="9">
        <f>D13-C13</f>
        <v/>
      </c>
      <c r="F13" s="5" t="inlineStr">
        <is>
          <t>Emerging has less IBNR (unexpected)</t>
        </is>
      </c>
    </row>
    <row r="14">
      <c r="A14" s="5" t="inlineStr">
        <is>
          <t>contents</t>
        </is>
      </c>
      <c r="B14" s="5" t="inlineStr">
        <is>
          <t>theft</t>
        </is>
      </c>
      <c r="C14" s="9" t="n">
        <v>1.0142</v>
      </c>
      <c r="D14" s="9" t="n">
        <v>1.015</v>
      </c>
      <c r="E14" s="9">
        <f>D14-C14</f>
        <v/>
      </c>
      <c r="F14" s="5" t="inlineStr">
        <is>
          <t>Emerging has more IBNR (less mature)</t>
        </is>
      </c>
    </row>
    <row r="15">
      <c r="A15" s="15" t="inlineStr">
        <is>
          <t>motor</t>
        </is>
      </c>
      <c r="B15" s="15" t="inlineStr">
        <is>
          <t>bodily_injury</t>
        </is>
      </c>
      <c r="C15" s="16" t="n">
        <v>1.5168</v>
      </c>
      <c r="D15" s="16" t="n">
        <v>1.3052</v>
      </c>
      <c r="E15" s="16">
        <f>D15-C15</f>
        <v/>
      </c>
      <c r="F15" s="15" t="inlineStr">
        <is>
          <t>Long-tail: BI has massive IBNR in both markets</t>
        </is>
      </c>
    </row>
    <row r="16">
      <c r="A16" s="5" t="inlineStr">
        <is>
          <t>motor</t>
        </is>
      </c>
      <c r="B16" s="5" t="inlineStr">
        <is>
          <t>glass_hail</t>
        </is>
      </c>
      <c r="C16" s="9" t="n">
        <v>1.0235</v>
      </c>
      <c r="D16" s="9" t="n">
        <v>1.0113</v>
      </c>
      <c r="E16" s="9">
        <f>D16-C16</f>
        <v/>
      </c>
      <c r="F16" s="5" t="inlineStr">
        <is>
          <t>Emerging has less IBNR (unexpected)</t>
        </is>
      </c>
    </row>
    <row r="17">
      <c r="A17" s="5" t="inlineStr">
        <is>
          <t>motor</t>
        </is>
      </c>
      <c r="B17" s="5" t="inlineStr">
        <is>
          <t>own_damage</t>
        </is>
      </c>
      <c r="C17" s="9" t="n">
        <v>1.0272</v>
      </c>
      <c r="D17" s="9" t="n">
        <v>1.0198</v>
      </c>
      <c r="E17" s="9">
        <f>D17-C17</f>
        <v/>
      </c>
      <c r="F17" s="5" t="inlineStr">
        <is>
          <t>Emerging has less IBNR (unexpected)</t>
        </is>
      </c>
    </row>
    <row r="18">
      <c r="A18" s="5" t="inlineStr">
        <is>
          <t>motor</t>
        </is>
      </c>
      <c r="B18" s="5" t="inlineStr">
        <is>
          <t>theft</t>
        </is>
      </c>
      <c r="C18" s="9" t="n">
        <v>1.0139</v>
      </c>
      <c r="D18" s="9" t="n">
        <v>1.0078</v>
      </c>
      <c r="E18" s="9">
        <f>D18-C18</f>
        <v/>
      </c>
      <c r="F18" s="5" t="inlineStr">
        <is>
          <t>Emerging has less IBNR (unexpected)</t>
        </is>
      </c>
    </row>
    <row r="19">
      <c r="A19" s="5" t="inlineStr">
        <is>
          <t>motor</t>
        </is>
      </c>
      <c r="B19" s="5" t="inlineStr">
        <is>
          <t>third_party_prop</t>
        </is>
      </c>
      <c r="C19" s="9" t="n">
        <v>1.054</v>
      </c>
      <c r="D19" s="9" t="n">
        <v>1.0286</v>
      </c>
      <c r="E19" s="9">
        <f>D19-C19</f>
        <v/>
      </c>
      <c r="F19" s="5" t="inlineStr">
        <is>
          <t>Emerging has less IBNR (unexpected)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1" customWidth="1" min="3" max="3"/>
    <col width="13" customWidth="1" min="4" max="4"/>
    <col width="16" customWidth="1" min="5" max="5"/>
    <col width="11" customWidth="1" min="6" max="6"/>
    <col width="13" customWidth="1" min="7" max="7"/>
    <col width="13" customWidth="1" min="8" max="8"/>
    <col width="13" customWidth="1" min="9" max="9"/>
    <col width="28" customWidth="1" min="10" max="10"/>
    <col width="10" customWidth="1" min="11" max="11"/>
  </cols>
  <sheetData>
    <row r="1">
      <c r="A1" s="1" t="inlineStr">
        <is>
          <t>BF Factor Application to Emerging Claims — By Peril and Loss Year</t>
        </is>
      </c>
    </row>
    <row r="2">
      <c r="A2" s="3" t="inlineStr">
        <is>
          <t>Formula: ultimate = incurred_net × BF_factor. BF factors from Part 1 (developed market).</t>
        </is>
      </c>
    </row>
    <row r="3">
      <c r="A3" s="3" t="inlineStr">
        <is>
          <t>incurred_net = incurred_to_date - recoveries</t>
        </is>
      </c>
    </row>
    <row r="4"/>
    <row r="5">
      <c r="A5" s="2" t="inlineStr">
        <is>
          <t>MOTOR</t>
        </is>
      </c>
    </row>
    <row r="6">
      <c r="A6" s="4" t="inlineStr">
        <is>
          <t>Peril</t>
        </is>
      </c>
      <c r="B6" s="4" t="inlineStr">
        <is>
          <t>Tail Type</t>
        </is>
      </c>
      <c r="C6" s="4" t="inlineStr">
        <is>
          <t>Loss Year</t>
        </is>
      </c>
      <c r="D6" s="4" t="inlineStr">
        <is>
          <t>Claim Count</t>
        </is>
      </c>
      <c r="E6" s="4" t="inlineStr">
        <is>
          <t>Incurred (net)</t>
        </is>
      </c>
      <c r="F6" s="4" t="inlineStr">
        <is>
          <t>BF Factor</t>
        </is>
      </c>
      <c r="G6" s="4" t="inlineStr">
        <is>
          <t>Ultimate</t>
        </is>
      </c>
      <c r="H6" s="4" t="inlineStr">
        <is>
          <t>IBNR Amount</t>
        </is>
      </c>
      <c r="I6" s="4" t="inlineStr">
        <is>
          <t>% Developed</t>
        </is>
      </c>
      <c r="J6" s="4" t="inlineStr">
        <is>
          <t>Notes</t>
        </is>
      </c>
    </row>
    <row r="7">
      <c r="A7" s="5" t="inlineStr">
        <is>
          <t>bodily_injury</t>
        </is>
      </c>
      <c r="B7" s="5" t="inlineStr">
        <is>
          <t>Long-tail (BI)</t>
        </is>
      </c>
      <c r="C7" s="5" t="n">
        <v>2023</v>
      </c>
      <c r="D7" s="5" t="n">
        <v>266</v>
      </c>
      <c r="E7" s="19" t="n">
        <v>2790597.3</v>
      </c>
      <c r="F7" s="6" t="n">
        <v>1.06</v>
      </c>
      <c r="G7" s="19">
        <f>E7*F7</f>
        <v/>
      </c>
      <c r="H7" s="19">
        <f>G7-E7</f>
        <v/>
      </c>
      <c r="I7" s="7">
        <f>1/F7</f>
        <v/>
      </c>
      <c r="J7" s="5" t="inlineStr">
        <is>
          <t>Moderate development needed</t>
        </is>
      </c>
    </row>
    <row r="8">
      <c r="A8" s="15" t="inlineStr">
        <is>
          <t>bodily_injury</t>
        </is>
      </c>
      <c r="B8" s="15" t="inlineStr">
        <is>
          <t>Long-tail (BI)</t>
        </is>
      </c>
      <c r="C8" s="15" t="n">
        <v>2024</v>
      </c>
      <c r="D8" s="15" t="n">
        <v>183</v>
      </c>
      <c r="E8" s="22" t="n">
        <v>2014762.31</v>
      </c>
      <c r="F8" s="23" t="n">
        <v>1.82</v>
      </c>
      <c r="G8" s="22">
        <f>E8*F8</f>
        <v/>
      </c>
      <c r="H8" s="22">
        <f>G8-E8</f>
        <v/>
      </c>
      <c r="I8" s="20">
        <f>1/F8</f>
        <v/>
      </c>
      <c r="J8" s="15" t="inlineStr">
        <is>
          <t>Only 54.9% developed — 45% IBNR+severity</t>
        </is>
      </c>
    </row>
    <row r="9">
      <c r="A9" s="5" t="inlineStr">
        <is>
          <t>glass_hail</t>
        </is>
      </c>
      <c r="B9" s="5" t="inlineStr">
        <is>
          <t>Short-tail</t>
        </is>
      </c>
      <c r="C9" s="5" t="n">
        <v>2023</v>
      </c>
      <c r="D9" s="5" t="n">
        <v>601</v>
      </c>
      <c r="E9" s="19" t="n">
        <v>430672.14</v>
      </c>
      <c r="F9" s="6" t="n">
        <v>1.01</v>
      </c>
      <c r="G9" s="19">
        <f>E9*F9</f>
        <v/>
      </c>
      <c r="H9" s="19">
        <f>G9-E9</f>
        <v/>
      </c>
      <c r="I9" s="7">
        <f>1/F9</f>
        <v/>
      </c>
      <c r="J9" s="5" t="inlineStr">
        <is>
          <t>Nearly fully developed</t>
        </is>
      </c>
    </row>
    <row r="10">
      <c r="A10" s="5" t="inlineStr">
        <is>
          <t>glass_hail</t>
        </is>
      </c>
      <c r="B10" s="5" t="inlineStr">
        <is>
          <t>Short-tail</t>
        </is>
      </c>
      <c r="C10" s="5" t="n">
        <v>2024</v>
      </c>
      <c r="D10" s="5" t="n">
        <v>744</v>
      </c>
      <c r="E10" s="19" t="n">
        <v>593058.62</v>
      </c>
      <c r="F10" s="6" t="n">
        <v>1.08</v>
      </c>
      <c r="G10" s="19">
        <f>E10*F10</f>
        <v/>
      </c>
      <c r="H10" s="19">
        <f>G10-E10</f>
        <v/>
      </c>
      <c r="I10" s="7">
        <f>1/F10</f>
        <v/>
      </c>
      <c r="J10" s="5" t="inlineStr">
        <is>
          <t>Moderate development needed</t>
        </is>
      </c>
    </row>
    <row r="11">
      <c r="A11" s="5" t="inlineStr">
        <is>
          <t>own_damage</t>
        </is>
      </c>
      <c r="B11" s="5" t="inlineStr">
        <is>
          <t>Short-tail</t>
        </is>
      </c>
      <c r="C11" s="5" t="n">
        <v>2023</v>
      </c>
      <c r="D11" s="5" t="n">
        <v>1378</v>
      </c>
      <c r="E11" s="19" t="n">
        <v>1494655.05</v>
      </c>
      <c r="F11" s="6" t="n">
        <v>1.01</v>
      </c>
      <c r="G11" s="19">
        <f>E11*F11</f>
        <v/>
      </c>
      <c r="H11" s="19">
        <f>G11-E11</f>
        <v/>
      </c>
      <c r="I11" s="7">
        <f>1/F11</f>
        <v/>
      </c>
      <c r="J11" s="5" t="inlineStr">
        <is>
          <t>Nearly fully developed</t>
        </is>
      </c>
    </row>
    <row r="12">
      <c r="A12" s="5" t="inlineStr">
        <is>
          <t>own_damage</t>
        </is>
      </c>
      <c r="B12" s="5" t="inlineStr">
        <is>
          <t>Short-tail</t>
        </is>
      </c>
      <c r="C12" s="5" t="n">
        <v>2024</v>
      </c>
      <c r="D12" s="5" t="n">
        <v>1295</v>
      </c>
      <c r="E12" s="19" t="n">
        <v>1549816.18</v>
      </c>
      <c r="F12" s="6" t="n">
        <v>1.08</v>
      </c>
      <c r="G12" s="19">
        <f>E12*F12</f>
        <v/>
      </c>
      <c r="H12" s="19">
        <f>G12-E12</f>
        <v/>
      </c>
      <c r="I12" s="7">
        <f>1/F12</f>
        <v/>
      </c>
      <c r="J12" s="5" t="inlineStr">
        <is>
          <t>Moderate development needed</t>
        </is>
      </c>
    </row>
    <row r="13">
      <c r="A13" s="5" t="inlineStr">
        <is>
          <t>theft</t>
        </is>
      </c>
      <c r="B13" s="5" t="inlineStr">
        <is>
          <t>Short-tail</t>
        </is>
      </c>
      <c r="C13" s="5" t="n">
        <v>2023</v>
      </c>
      <c r="D13" s="5" t="n">
        <v>194</v>
      </c>
      <c r="E13" s="19" t="n">
        <v>729183.77</v>
      </c>
      <c r="F13" s="6" t="n">
        <v>1.01</v>
      </c>
      <c r="G13" s="19">
        <f>E13*F13</f>
        <v/>
      </c>
      <c r="H13" s="19">
        <f>G13-E13</f>
        <v/>
      </c>
      <c r="I13" s="7">
        <f>1/F13</f>
        <v/>
      </c>
      <c r="J13" s="5" t="inlineStr">
        <is>
          <t>Nearly fully developed</t>
        </is>
      </c>
    </row>
    <row r="14">
      <c r="A14" s="5" t="inlineStr">
        <is>
          <t>theft</t>
        </is>
      </c>
      <c r="B14" s="5" t="inlineStr">
        <is>
          <t>Short-tail</t>
        </is>
      </c>
      <c r="C14" s="5" t="n">
        <v>2024</v>
      </c>
      <c r="D14" s="5" t="n">
        <v>195</v>
      </c>
      <c r="E14" s="19" t="n">
        <v>879063.11</v>
      </c>
      <c r="F14" s="6" t="n">
        <v>1.08</v>
      </c>
      <c r="G14" s="19">
        <f>E14*F14</f>
        <v/>
      </c>
      <c r="H14" s="19">
        <f>G14-E14</f>
        <v/>
      </c>
      <c r="I14" s="7">
        <f>1/F14</f>
        <v/>
      </c>
      <c r="J14" s="5" t="inlineStr">
        <is>
          <t>Moderate development needed</t>
        </is>
      </c>
    </row>
    <row r="15">
      <c r="A15" s="5" t="inlineStr">
        <is>
          <t>third_party_prop</t>
        </is>
      </c>
      <c r="B15" s="5" t="inlineStr">
        <is>
          <t>Medium-tail</t>
        </is>
      </c>
      <c r="C15" s="5" t="n">
        <v>2023</v>
      </c>
      <c r="D15" s="5" t="n">
        <v>1120</v>
      </c>
      <c r="E15" s="19" t="n">
        <v>2720000.98</v>
      </c>
      <c r="F15" s="6" t="n">
        <v>1.01</v>
      </c>
      <c r="G15" s="19">
        <f>E15*F15</f>
        <v/>
      </c>
      <c r="H15" s="19">
        <f>G15-E15</f>
        <v/>
      </c>
      <c r="I15" s="7">
        <f>1/F15</f>
        <v/>
      </c>
      <c r="J15" s="5" t="inlineStr">
        <is>
          <t>Nearly fully developed</t>
        </is>
      </c>
    </row>
    <row r="16">
      <c r="A16" s="5" t="inlineStr">
        <is>
          <t>third_party_prop</t>
        </is>
      </c>
      <c r="B16" s="5" t="inlineStr">
        <is>
          <t>Medium-tail</t>
        </is>
      </c>
      <c r="C16" s="5" t="n">
        <v>2024</v>
      </c>
      <c r="D16" s="5" t="n">
        <v>1074</v>
      </c>
      <c r="E16" s="19" t="n">
        <v>2656426.53</v>
      </c>
      <c r="F16" s="6" t="n">
        <v>1.08</v>
      </c>
      <c r="G16" s="19">
        <f>E16*F16</f>
        <v/>
      </c>
      <c r="H16" s="19">
        <f>G16-E16</f>
        <v/>
      </c>
      <c r="I16" s="7">
        <f>1/F16</f>
        <v/>
      </c>
      <c r="J16" s="5" t="inlineStr">
        <is>
          <t>Moderate development needed</t>
        </is>
      </c>
    </row>
    <row r="17">
      <c r="A17" s="10" t="inlineStr">
        <is>
          <t>motor Total</t>
        </is>
      </c>
      <c r="B17" s="10" t="n"/>
      <c r="C17" s="10" t="n"/>
      <c r="D17" s="10" t="n"/>
      <c r="E17" s="11" t="n">
        <v>15919144.7</v>
      </c>
      <c r="F17" s="10" t="n"/>
      <c r="G17" s="11" t="n">
        <v>18246699.91</v>
      </c>
      <c r="H17" s="11">
        <f>G17-E17</f>
        <v/>
      </c>
      <c r="I17" s="10" t="n"/>
      <c r="J17" s="10" t="n"/>
    </row>
    <row r="18"/>
    <row r="19">
      <c r="A19" s="2" t="inlineStr">
        <is>
          <t>BUILDINGS</t>
        </is>
      </c>
    </row>
    <row r="20">
      <c r="A20" s="4" t="inlineStr">
        <is>
          <t>Peril</t>
        </is>
      </c>
      <c r="B20" s="4" t="inlineStr">
        <is>
          <t>Tail Type</t>
        </is>
      </c>
      <c r="C20" s="4" t="inlineStr">
        <is>
          <t>Loss Year</t>
        </is>
      </c>
      <c r="D20" s="4" t="inlineStr">
        <is>
          <t>Claim Count</t>
        </is>
      </c>
      <c r="E20" s="4" t="inlineStr">
        <is>
          <t>Incurred (net)</t>
        </is>
      </c>
      <c r="F20" s="4" t="inlineStr">
        <is>
          <t>BF Factor</t>
        </is>
      </c>
      <c r="G20" s="4" t="inlineStr">
        <is>
          <t>Ultimate</t>
        </is>
      </c>
      <c r="H20" s="4" t="inlineStr">
        <is>
          <t>IBNR Amount</t>
        </is>
      </c>
      <c r="I20" s="4" t="inlineStr">
        <is>
          <t>% Developed</t>
        </is>
      </c>
      <c r="J20" s="4" t="inlineStr">
        <is>
          <t>Notes</t>
        </is>
      </c>
    </row>
    <row r="21">
      <c r="A21" s="5" t="inlineStr">
        <is>
          <t>accidental_damage</t>
        </is>
      </c>
      <c r="B21" s="5" t="inlineStr">
        <is>
          <t>Medium-tail</t>
        </is>
      </c>
      <c r="C21" s="5" t="n">
        <v>2023</v>
      </c>
      <c r="D21" s="5" t="n">
        <v>55</v>
      </c>
      <c r="E21" s="19" t="n">
        <v>46624.26</v>
      </c>
      <c r="F21" s="6" t="n">
        <v>1.02</v>
      </c>
      <c r="G21" s="19">
        <f>E21*F21</f>
        <v/>
      </c>
      <c r="H21" s="19">
        <f>G21-E21</f>
        <v/>
      </c>
      <c r="I21" s="7">
        <f>1/F21</f>
        <v/>
      </c>
      <c r="J21" s="5" t="inlineStr">
        <is>
          <t>Nearly fully developed</t>
        </is>
      </c>
    </row>
    <row r="22">
      <c r="A22" s="5" t="inlineStr">
        <is>
          <t>accidental_damage</t>
        </is>
      </c>
      <c r="B22" s="5" t="inlineStr">
        <is>
          <t>Medium-tail</t>
        </is>
      </c>
      <c r="C22" s="5" t="n">
        <v>2024</v>
      </c>
      <c r="D22" s="5" t="n">
        <v>67</v>
      </c>
      <c r="E22" s="19" t="n">
        <v>63069.92</v>
      </c>
      <c r="F22" s="6" t="n">
        <v>1.08</v>
      </c>
      <c r="G22" s="19">
        <f>E22*F22</f>
        <v/>
      </c>
      <c r="H22" s="19">
        <f>G22-E22</f>
        <v/>
      </c>
      <c r="I22" s="7">
        <f>1/F22</f>
        <v/>
      </c>
      <c r="J22" s="5" t="inlineStr">
        <is>
          <t>Moderate development needed</t>
        </is>
      </c>
    </row>
    <row r="23">
      <c r="A23" s="5" t="inlineStr">
        <is>
          <t>escape_of_water</t>
        </is>
      </c>
      <c r="B23" s="5" t="inlineStr">
        <is>
          <t>Medium-tail</t>
        </is>
      </c>
      <c r="C23" s="5" t="n">
        <v>2023</v>
      </c>
      <c r="D23" s="5" t="n">
        <v>131</v>
      </c>
      <c r="E23" s="19" t="n">
        <v>505839.4</v>
      </c>
      <c r="F23" s="6" t="n">
        <v>1.02</v>
      </c>
      <c r="G23" s="19">
        <f>E23*F23</f>
        <v/>
      </c>
      <c r="H23" s="19">
        <f>G23-E23</f>
        <v/>
      </c>
      <c r="I23" s="7">
        <f>1/F23</f>
        <v/>
      </c>
      <c r="J23" s="5" t="inlineStr">
        <is>
          <t>Nearly fully developed</t>
        </is>
      </c>
    </row>
    <row r="24">
      <c r="A24" s="5" t="inlineStr">
        <is>
          <t>escape_of_water</t>
        </is>
      </c>
      <c r="B24" s="5" t="inlineStr">
        <is>
          <t>Medium-tail</t>
        </is>
      </c>
      <c r="C24" s="5" t="n">
        <v>2024</v>
      </c>
      <c r="D24" s="5" t="n">
        <v>137</v>
      </c>
      <c r="E24" s="19" t="n">
        <v>533202.23</v>
      </c>
      <c r="F24" s="6" t="n">
        <v>1.08</v>
      </c>
      <c r="G24" s="19">
        <f>E24*F24</f>
        <v/>
      </c>
      <c r="H24" s="19">
        <f>G24-E24</f>
        <v/>
      </c>
      <c r="I24" s="7">
        <f>1/F24</f>
        <v/>
      </c>
      <c r="J24" s="5" t="inlineStr">
        <is>
          <t>Moderate development needed</t>
        </is>
      </c>
    </row>
    <row r="25">
      <c r="A25" s="5" t="inlineStr">
        <is>
          <t>fire</t>
        </is>
      </c>
      <c r="B25" s="5" t="inlineStr">
        <is>
          <t>Medium-tail</t>
        </is>
      </c>
      <c r="C25" s="5" t="n">
        <v>2023</v>
      </c>
      <c r="D25" s="5" t="n">
        <v>49</v>
      </c>
      <c r="E25" s="19" t="n">
        <v>3223095.73</v>
      </c>
      <c r="F25" s="6" t="n">
        <v>1.02</v>
      </c>
      <c r="G25" s="19">
        <f>E25*F25</f>
        <v/>
      </c>
      <c r="H25" s="19">
        <f>G25-E25</f>
        <v/>
      </c>
      <c r="I25" s="7">
        <f>1/F25</f>
        <v/>
      </c>
      <c r="J25" s="5" t="inlineStr">
        <is>
          <t>Nearly fully developed</t>
        </is>
      </c>
    </row>
    <row r="26">
      <c r="A26" s="5" t="inlineStr">
        <is>
          <t>fire</t>
        </is>
      </c>
      <c r="B26" s="5" t="inlineStr">
        <is>
          <t>Medium-tail</t>
        </is>
      </c>
      <c r="C26" s="5" t="n">
        <v>2024</v>
      </c>
      <c r="D26" s="5" t="n">
        <v>21</v>
      </c>
      <c r="E26" s="19" t="n">
        <v>1125283.74</v>
      </c>
      <c r="F26" s="6" t="n">
        <v>1.08</v>
      </c>
      <c r="G26" s="19">
        <f>E26*F26</f>
        <v/>
      </c>
      <c r="H26" s="19">
        <f>G26-E26</f>
        <v/>
      </c>
      <c r="I26" s="7">
        <f>1/F26</f>
        <v/>
      </c>
      <c r="J26" s="5" t="inlineStr">
        <is>
          <t>Moderate development needed</t>
        </is>
      </c>
    </row>
    <row r="27">
      <c r="A27" s="5" t="inlineStr">
        <is>
          <t>flood</t>
        </is>
      </c>
      <c r="B27" s="5" t="inlineStr">
        <is>
          <t>Medium-tail</t>
        </is>
      </c>
      <c r="C27" s="5" t="n">
        <v>2023</v>
      </c>
      <c r="D27" s="5" t="n">
        <v>42</v>
      </c>
      <c r="E27" s="19" t="n">
        <v>1041698.75</v>
      </c>
      <c r="F27" s="6" t="n">
        <v>1.02</v>
      </c>
      <c r="G27" s="19">
        <f>E27*F27</f>
        <v/>
      </c>
      <c r="H27" s="19">
        <f>G27-E27</f>
        <v/>
      </c>
      <c r="I27" s="7">
        <f>1/F27</f>
        <v/>
      </c>
      <c r="J27" s="5" t="inlineStr">
        <is>
          <t>Nearly fully developed</t>
        </is>
      </c>
    </row>
    <row r="28">
      <c r="A28" s="5" t="inlineStr">
        <is>
          <t>flood</t>
        </is>
      </c>
      <c r="B28" s="5" t="inlineStr">
        <is>
          <t>Medium-tail</t>
        </is>
      </c>
      <c r="C28" s="5" t="n">
        <v>2024</v>
      </c>
      <c r="D28" s="5" t="n">
        <v>38</v>
      </c>
      <c r="E28" s="19" t="n">
        <v>1079613.83</v>
      </c>
      <c r="F28" s="6" t="n">
        <v>1.08</v>
      </c>
      <c r="G28" s="19">
        <f>E28*F28</f>
        <v/>
      </c>
      <c r="H28" s="19">
        <f>G28-E28</f>
        <v/>
      </c>
      <c r="I28" s="7">
        <f>1/F28</f>
        <v/>
      </c>
      <c r="J28" s="5" t="inlineStr">
        <is>
          <t>Moderate development needed</t>
        </is>
      </c>
    </row>
    <row r="29">
      <c r="A29" s="5" t="inlineStr">
        <is>
          <t>storm</t>
        </is>
      </c>
      <c r="B29" s="5" t="inlineStr">
        <is>
          <t>Medium-tail</t>
        </is>
      </c>
      <c r="C29" s="5" t="n">
        <v>2023</v>
      </c>
      <c r="D29" s="5" t="n">
        <v>210</v>
      </c>
      <c r="E29" s="19" t="n">
        <v>516082.92</v>
      </c>
      <c r="F29" s="6" t="n">
        <v>1.02</v>
      </c>
      <c r="G29" s="19">
        <f>E29*F29</f>
        <v/>
      </c>
      <c r="H29" s="19">
        <f>G29-E29</f>
        <v/>
      </c>
      <c r="I29" s="7">
        <f>1/F29</f>
        <v/>
      </c>
      <c r="J29" s="5" t="inlineStr">
        <is>
          <t>Nearly fully developed</t>
        </is>
      </c>
    </row>
    <row r="30">
      <c r="A30" s="5" t="inlineStr">
        <is>
          <t>storm</t>
        </is>
      </c>
      <c r="B30" s="5" t="inlineStr">
        <is>
          <t>Medium-tail</t>
        </is>
      </c>
      <c r="C30" s="5" t="n">
        <v>2024</v>
      </c>
      <c r="D30" s="5" t="n">
        <v>254</v>
      </c>
      <c r="E30" s="19" t="n">
        <v>693529.12</v>
      </c>
      <c r="F30" s="6" t="n">
        <v>1.08</v>
      </c>
      <c r="G30" s="19">
        <f>E30*F30</f>
        <v/>
      </c>
      <c r="H30" s="19">
        <f>G30-E30</f>
        <v/>
      </c>
      <c r="I30" s="7">
        <f>1/F30</f>
        <v/>
      </c>
      <c r="J30" s="5" t="inlineStr">
        <is>
          <t>Moderate development needed</t>
        </is>
      </c>
    </row>
    <row r="31">
      <c r="A31" s="5" t="inlineStr">
        <is>
          <t>subsidence</t>
        </is>
      </c>
      <c r="B31" s="5" t="inlineStr">
        <is>
          <t>Long-tail</t>
        </is>
      </c>
      <c r="C31" s="5" t="n">
        <v>2023</v>
      </c>
      <c r="D31" s="5" t="n">
        <v>32</v>
      </c>
      <c r="E31" s="19" t="n">
        <v>515347.04</v>
      </c>
      <c r="F31" s="6" t="n">
        <v>1.15</v>
      </c>
      <c r="G31" s="19">
        <f>E31*F31</f>
        <v/>
      </c>
      <c r="H31" s="19">
        <f>G31-E31</f>
        <v/>
      </c>
      <c r="I31" s="7">
        <f>1/F31</f>
        <v/>
      </c>
      <c r="J31" s="5" t="inlineStr">
        <is>
          <t>Moderate development needed</t>
        </is>
      </c>
    </row>
    <row r="32">
      <c r="A32" s="15" t="inlineStr">
        <is>
          <t>subsidence</t>
        </is>
      </c>
      <c r="B32" s="15" t="inlineStr">
        <is>
          <t>Long-tail</t>
        </is>
      </c>
      <c r="C32" s="15" t="n">
        <v>2024</v>
      </c>
      <c r="D32" s="15" t="n">
        <v>20</v>
      </c>
      <c r="E32" s="22" t="n">
        <v>215362.37</v>
      </c>
      <c r="F32" s="23" t="n">
        <v>1.47</v>
      </c>
      <c r="G32" s="22">
        <f>E32*F32</f>
        <v/>
      </c>
      <c r="H32" s="22">
        <f>G32-E32</f>
        <v/>
      </c>
      <c r="I32" s="20">
        <f>1/F32</f>
        <v/>
      </c>
      <c r="J32" s="15" t="inlineStr">
        <is>
          <t>Only 68% developed</t>
        </is>
      </c>
    </row>
    <row r="33">
      <c r="A33" s="10" t="inlineStr">
        <is>
          <t>buildings Total</t>
        </is>
      </c>
      <c r="B33" s="10" t="n"/>
      <c r="C33" s="10" t="n"/>
      <c r="D33" s="10" t="n"/>
      <c r="E33" s="11" t="n">
        <v>9578176.32</v>
      </c>
      <c r="F33" s="10" t="n"/>
      <c r="G33" s="11" t="n">
        <v>10142941.42</v>
      </c>
      <c r="H33" s="11">
        <f>G33-E33</f>
        <v/>
      </c>
      <c r="I33" s="10" t="n"/>
      <c r="J33" s="10" t="n"/>
    </row>
    <row r="34"/>
    <row r="35">
      <c r="A35" s="2" t="inlineStr">
        <is>
          <t>CONTENTS</t>
        </is>
      </c>
    </row>
    <row r="36">
      <c r="A36" s="4" t="inlineStr">
        <is>
          <t>Peril</t>
        </is>
      </c>
      <c r="B36" s="4" t="inlineStr">
        <is>
          <t>Tail Type</t>
        </is>
      </c>
      <c r="C36" s="4" t="inlineStr">
        <is>
          <t>Loss Year</t>
        </is>
      </c>
      <c r="D36" s="4" t="inlineStr">
        <is>
          <t>Claim Count</t>
        </is>
      </c>
      <c r="E36" s="4" t="inlineStr">
        <is>
          <t>Incurred (net)</t>
        </is>
      </c>
      <c r="F36" s="4" t="inlineStr">
        <is>
          <t>BF Factor</t>
        </is>
      </c>
      <c r="G36" s="4" t="inlineStr">
        <is>
          <t>Ultimate</t>
        </is>
      </c>
      <c r="H36" s="4" t="inlineStr">
        <is>
          <t>IBNR Amount</t>
        </is>
      </c>
      <c r="I36" s="4" t="inlineStr">
        <is>
          <t>% Developed</t>
        </is>
      </c>
      <c r="J36" s="4" t="inlineStr">
        <is>
          <t>Notes</t>
        </is>
      </c>
    </row>
    <row r="37">
      <c r="A37" s="5" t="inlineStr">
        <is>
          <t>accidental_damage</t>
        </is>
      </c>
      <c r="B37" s="5" t="inlineStr">
        <is>
          <t>Short-tail</t>
        </is>
      </c>
      <c r="C37" s="5" t="n">
        <v>2023</v>
      </c>
      <c r="D37" s="5" t="n">
        <v>166</v>
      </c>
      <c r="E37" s="19" t="n">
        <v>108202.91</v>
      </c>
      <c r="F37" s="6" t="n">
        <v>1.01</v>
      </c>
      <c r="G37" s="19">
        <f>E37*F37</f>
        <v/>
      </c>
      <c r="H37" s="19">
        <f>G37-E37</f>
        <v/>
      </c>
      <c r="I37" s="7">
        <f>1/F37</f>
        <v/>
      </c>
      <c r="J37" s="5" t="inlineStr">
        <is>
          <t>Nearly fully developed</t>
        </is>
      </c>
    </row>
    <row r="38">
      <c r="A38" s="5" t="inlineStr">
        <is>
          <t>accidental_damage</t>
        </is>
      </c>
      <c r="B38" s="5" t="inlineStr">
        <is>
          <t>Short-tail</t>
        </is>
      </c>
      <c r="C38" s="5" t="n">
        <v>2024</v>
      </c>
      <c r="D38" s="5" t="n">
        <v>169</v>
      </c>
      <c r="E38" s="19" t="n">
        <v>104786.29</v>
      </c>
      <c r="F38" s="6" t="n">
        <v>1.04</v>
      </c>
      <c r="G38" s="19">
        <f>E38*F38</f>
        <v/>
      </c>
      <c r="H38" s="19">
        <f>G38-E38</f>
        <v/>
      </c>
      <c r="I38" s="7">
        <f>1/F38</f>
        <v/>
      </c>
      <c r="J38" s="5" t="inlineStr"/>
    </row>
    <row r="39">
      <c r="A39" s="5" t="inlineStr">
        <is>
          <t>escape_of_water</t>
        </is>
      </c>
      <c r="B39" s="5" t="inlineStr">
        <is>
          <t>Short-tail</t>
        </is>
      </c>
      <c r="C39" s="5" t="n">
        <v>2023</v>
      </c>
      <c r="D39" s="5" t="n">
        <v>86</v>
      </c>
      <c r="E39" s="19" t="n">
        <v>193277.83</v>
      </c>
      <c r="F39" s="6" t="n">
        <v>1.01</v>
      </c>
      <c r="G39" s="19">
        <f>E39*F39</f>
        <v/>
      </c>
      <c r="H39" s="19">
        <f>G39-E39</f>
        <v/>
      </c>
      <c r="I39" s="7">
        <f>1/F39</f>
        <v/>
      </c>
      <c r="J39" s="5" t="inlineStr">
        <is>
          <t>Nearly fully developed</t>
        </is>
      </c>
    </row>
    <row r="40">
      <c r="A40" s="5" t="inlineStr">
        <is>
          <t>escape_of_water</t>
        </is>
      </c>
      <c r="B40" s="5" t="inlineStr">
        <is>
          <t>Short-tail</t>
        </is>
      </c>
      <c r="C40" s="5" t="n">
        <v>2024</v>
      </c>
      <c r="D40" s="5" t="n">
        <v>85</v>
      </c>
      <c r="E40" s="19" t="n">
        <v>169613.12</v>
      </c>
      <c r="F40" s="6" t="n">
        <v>1.04</v>
      </c>
      <c r="G40" s="19">
        <f>E40*F40</f>
        <v/>
      </c>
      <c r="H40" s="19">
        <f>G40-E40</f>
        <v/>
      </c>
      <c r="I40" s="7">
        <f>1/F40</f>
        <v/>
      </c>
      <c r="J40" s="5" t="inlineStr"/>
    </row>
    <row r="41">
      <c r="A41" s="5" t="inlineStr">
        <is>
          <t>flood</t>
        </is>
      </c>
      <c r="B41" s="5" t="inlineStr">
        <is>
          <t>Short-tail</t>
        </is>
      </c>
      <c r="C41" s="5" t="n">
        <v>2023</v>
      </c>
      <c r="D41" s="5" t="n">
        <v>51</v>
      </c>
      <c r="E41" s="19" t="n">
        <v>432205.95</v>
      </c>
      <c r="F41" s="6" t="n">
        <v>1.01</v>
      </c>
      <c r="G41" s="19">
        <f>E41*F41</f>
        <v/>
      </c>
      <c r="H41" s="19">
        <f>G41-E41</f>
        <v/>
      </c>
      <c r="I41" s="7">
        <f>1/F41</f>
        <v/>
      </c>
      <c r="J41" s="5" t="inlineStr">
        <is>
          <t>Nearly fully developed</t>
        </is>
      </c>
    </row>
    <row r="42">
      <c r="A42" s="5" t="inlineStr">
        <is>
          <t>flood</t>
        </is>
      </c>
      <c r="B42" s="5" t="inlineStr">
        <is>
          <t>Short-tail</t>
        </is>
      </c>
      <c r="C42" s="5" t="n">
        <v>2024</v>
      </c>
      <c r="D42" s="5" t="n">
        <v>35</v>
      </c>
      <c r="E42" s="19" t="n">
        <v>356363.83</v>
      </c>
      <c r="F42" s="6" t="n">
        <v>1.04</v>
      </c>
      <c r="G42" s="19">
        <f>E42*F42</f>
        <v/>
      </c>
      <c r="H42" s="19">
        <f>G42-E42</f>
        <v/>
      </c>
      <c r="I42" s="7">
        <f>1/F42</f>
        <v/>
      </c>
      <c r="J42" s="5" t="inlineStr"/>
    </row>
    <row r="43">
      <c r="A43" s="5" t="inlineStr">
        <is>
          <t>theft</t>
        </is>
      </c>
      <c r="B43" s="5" t="inlineStr">
        <is>
          <t>Short-tail</t>
        </is>
      </c>
      <c r="C43" s="5" t="n">
        <v>2023</v>
      </c>
      <c r="D43" s="5" t="n">
        <v>188</v>
      </c>
      <c r="E43" s="19" t="n">
        <v>551967.84</v>
      </c>
      <c r="F43" s="6" t="n">
        <v>1.01</v>
      </c>
      <c r="G43" s="19">
        <f>E43*F43</f>
        <v/>
      </c>
      <c r="H43" s="19">
        <f>G43-E43</f>
        <v/>
      </c>
      <c r="I43" s="7">
        <f>1/F43</f>
        <v/>
      </c>
      <c r="J43" s="5" t="inlineStr">
        <is>
          <t>Nearly fully developed</t>
        </is>
      </c>
    </row>
    <row r="44">
      <c r="A44" s="5" t="inlineStr">
        <is>
          <t>theft</t>
        </is>
      </c>
      <c r="B44" s="5" t="inlineStr">
        <is>
          <t>Short-tail</t>
        </is>
      </c>
      <c r="C44" s="5" t="n">
        <v>2024</v>
      </c>
      <c r="D44" s="5" t="n">
        <v>218</v>
      </c>
      <c r="E44" s="19" t="n">
        <v>666936.53</v>
      </c>
      <c r="F44" s="6" t="n">
        <v>1.04</v>
      </c>
      <c r="G44" s="19">
        <f>E44*F44</f>
        <v/>
      </c>
      <c r="H44" s="19">
        <f>G44-E44</f>
        <v/>
      </c>
      <c r="I44" s="7">
        <f>1/F44</f>
        <v/>
      </c>
      <c r="J44" s="5" t="inlineStr"/>
    </row>
    <row r="45">
      <c r="A45" s="10" t="inlineStr">
        <is>
          <t>contents Total</t>
        </is>
      </c>
      <c r="B45" s="10" t="n"/>
      <c r="C45" s="10" t="n"/>
      <c r="D45" s="10" t="n"/>
      <c r="E45" s="11" t="n">
        <v>2592937.81</v>
      </c>
      <c r="F45" s="10" t="n"/>
      <c r="G45" s="11" t="n">
        <v>2657702.35</v>
      </c>
      <c r="H45" s="11">
        <f>G45-E45</f>
        <v/>
      </c>
      <c r="I45" s="10" t="n"/>
      <c r="J45" s="10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2026-10-25T22:09:20Z</dcterms:created>
  <dcterms:modified xsi:type="dcterms:W3CDTF">2026-10-25T22:11:01Z</dcterms:modified>
</cp:coreProperties>
</file>